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16608" windowHeight="9432" tabRatio="712" firstSheet="2" activeTab="10"/>
  </bookViews>
  <sheets>
    <sheet name="Tiêu thụ điện" sheetId="1" r:id="rId1"/>
    <sheet name="Tiêu thụ xăng" sheetId="2" r:id="rId2"/>
    <sheet name="Tiêu thụ DO" sheetId="3" r:id="rId3"/>
    <sheet name="Tiêu thụ LPG" sheetId="4" r:id="rId4"/>
    <sheet name="Total Energy" sheetId="16" r:id="rId5"/>
    <sheet name="Total Energy cost" sheetId="25" r:id="rId6"/>
    <sheet name="Total Emission" sheetId="17" r:id="rId7"/>
    <sheet name="P01" sheetId="5" r:id="rId8"/>
    <sheet name="P02" sheetId="6" r:id="rId9"/>
    <sheet name="P03" sheetId="20" r:id="rId10"/>
    <sheet name="P03a" sheetId="22" r:id="rId11"/>
    <sheet name="CA01" sheetId="8" r:id="rId12"/>
    <sheet name="CA02" sheetId="7" r:id="rId13"/>
    <sheet name="CA03" sheetId="9" r:id="rId14"/>
    <sheet name="CA04" sheetId="10" r:id="rId15"/>
    <sheet name="AC01" sheetId="11" r:id="rId16"/>
    <sheet name="AC02" sheetId="12" r:id="rId17"/>
    <sheet name="AC03" sheetId="13" r:id="rId18"/>
    <sheet name="AC04" sheetId="23" r:id="rId19"/>
    <sheet name="L01" sheetId="14" r:id="rId20"/>
    <sheet name="L02" sheetId="19" r:id="rId21"/>
    <sheet name="tổng hợp" sheetId="24" r:id="rId22"/>
  </sheets>
  <definedNames>
    <definedName name="_xlnm._FilterDatabase" localSheetId="21" hidden="1">'tổng hợp'!$A$1:$H$22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16" l="1"/>
  <c r="D23" i="24"/>
  <c r="G22" i="24"/>
  <c r="G23" i="24" s="1"/>
  <c r="E22" i="24"/>
  <c r="C22" i="24"/>
  <c r="C23" i="24" s="1"/>
  <c r="D5" i="24"/>
  <c r="I4" i="24"/>
  <c r="D11" i="24" s="1"/>
  <c r="F11" i="24" s="1"/>
  <c r="F46" i="17"/>
  <c r="F46" i="16"/>
  <c r="E3" i="25"/>
  <c r="F3" i="25" s="1"/>
  <c r="E4" i="25"/>
  <c r="E5" i="25"/>
  <c r="E6" i="25"/>
  <c r="E7" i="25"/>
  <c r="E8" i="25"/>
  <c r="E9" i="25"/>
  <c r="E10" i="25"/>
  <c r="E11" i="25"/>
  <c r="F11" i="25" s="1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F24" i="25" s="1"/>
  <c r="H24" i="25" s="1"/>
  <c r="E25" i="25"/>
  <c r="E26" i="25"/>
  <c r="E27" i="25"/>
  <c r="F27" i="25" s="1"/>
  <c r="H27" i="25" s="1"/>
  <c r="E28" i="25"/>
  <c r="E29" i="25"/>
  <c r="E30" i="25"/>
  <c r="E31" i="25"/>
  <c r="E32" i="25"/>
  <c r="F32" i="25" s="1"/>
  <c r="H32" i="25" s="1"/>
  <c r="E33" i="25"/>
  <c r="E34" i="25"/>
  <c r="E35" i="25"/>
  <c r="F35" i="25" s="1"/>
  <c r="H35" i="25" s="1"/>
  <c r="E36" i="25"/>
  <c r="E37" i="25"/>
  <c r="E38" i="25"/>
  <c r="E39" i="25"/>
  <c r="E40" i="25"/>
  <c r="E41" i="25"/>
  <c r="E42" i="25"/>
  <c r="E43" i="25"/>
  <c r="D3" i="25"/>
  <c r="D4" i="25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B3" i="25"/>
  <c r="B4" i="25"/>
  <c r="B5" i="25"/>
  <c r="B6" i="25"/>
  <c r="B7" i="25"/>
  <c r="B8" i="25"/>
  <c r="B9" i="25"/>
  <c r="B10" i="25"/>
  <c r="B11" i="25"/>
  <c r="B12" i="25"/>
  <c r="B13" i="25"/>
  <c r="B14" i="25"/>
  <c r="B15" i="25"/>
  <c r="B16" i="25"/>
  <c r="B17" i="25"/>
  <c r="B18" i="25"/>
  <c r="B19" i="25"/>
  <c r="B20" i="25"/>
  <c r="B21" i="25"/>
  <c r="B22" i="25"/>
  <c r="B23" i="25"/>
  <c r="B24" i="25"/>
  <c r="B25" i="25"/>
  <c r="B26" i="25"/>
  <c r="B27" i="25"/>
  <c r="B28" i="25"/>
  <c r="B29" i="25"/>
  <c r="B30" i="25"/>
  <c r="B31" i="25"/>
  <c r="B32" i="25"/>
  <c r="B33" i="25"/>
  <c r="B34" i="25"/>
  <c r="B35" i="25"/>
  <c r="B36" i="25"/>
  <c r="B37" i="25"/>
  <c r="B38" i="25"/>
  <c r="B39" i="25"/>
  <c r="B40" i="25"/>
  <c r="B41" i="25"/>
  <c r="C43" i="25"/>
  <c r="B43" i="25"/>
  <c r="F43" i="25" s="1"/>
  <c r="H43" i="25" s="1"/>
  <c r="C42" i="25"/>
  <c r="B42" i="25"/>
  <c r="G41" i="25"/>
  <c r="C41" i="25"/>
  <c r="F40" i="25"/>
  <c r="H40" i="25" s="1"/>
  <c r="F39" i="25"/>
  <c r="H39" i="25" s="1"/>
  <c r="F38" i="25"/>
  <c r="H38" i="25" s="1"/>
  <c r="F37" i="25"/>
  <c r="H37" i="25" s="1"/>
  <c r="F36" i="25"/>
  <c r="H36" i="25" s="1"/>
  <c r="F31" i="25"/>
  <c r="H31" i="25" s="1"/>
  <c r="F30" i="25"/>
  <c r="H30" i="25" s="1"/>
  <c r="F29" i="25"/>
  <c r="H29" i="25" s="1"/>
  <c r="G28" i="25"/>
  <c r="F28" i="25"/>
  <c r="H28" i="25" s="1"/>
  <c r="F23" i="25"/>
  <c r="H23" i="25" s="1"/>
  <c r="F22" i="25"/>
  <c r="H22" i="25" s="1"/>
  <c r="F21" i="25"/>
  <c r="H21" i="25" s="1"/>
  <c r="F20" i="25"/>
  <c r="H20" i="25" s="1"/>
  <c r="F19" i="25"/>
  <c r="H19" i="25" s="1"/>
  <c r="F16" i="25"/>
  <c r="H16" i="25" s="1"/>
  <c r="G15" i="25"/>
  <c r="F15" i="25"/>
  <c r="F14" i="25"/>
  <c r="H14" i="25" s="1"/>
  <c r="F13" i="25"/>
  <c r="H13" i="25" s="1"/>
  <c r="F12" i="25"/>
  <c r="F8" i="25"/>
  <c r="F7" i="25"/>
  <c r="F6" i="25"/>
  <c r="F5" i="25"/>
  <c r="F4" i="25"/>
  <c r="I46" i="1"/>
  <c r="I47" i="1"/>
  <c r="E47" i="1"/>
  <c r="D12" i="23"/>
  <c r="H14" i="23"/>
  <c r="D9" i="23"/>
  <c r="D14" i="23" s="1"/>
  <c r="D10" i="23"/>
  <c r="E17" i="16"/>
  <c r="C3" i="16"/>
  <c r="G17" i="19"/>
  <c r="D6" i="19"/>
  <c r="H9" i="22"/>
  <c r="D5" i="22"/>
  <c r="D6" i="22" s="1"/>
  <c r="D9" i="22"/>
  <c r="D4" i="19"/>
  <c r="D10" i="19" s="1"/>
  <c r="F20" i="19"/>
  <c r="D13" i="19" s="1"/>
  <c r="H15" i="19" s="1"/>
  <c r="H9" i="20"/>
  <c r="D5" i="20"/>
  <c r="D11" i="19"/>
  <c r="D10" i="14"/>
  <c r="D15" i="14" s="1"/>
  <c r="D6" i="14"/>
  <c r="D9" i="13"/>
  <c r="F24" i="12"/>
  <c r="F23" i="12"/>
  <c r="F22" i="12"/>
  <c r="F21" i="12"/>
  <c r="D9" i="12"/>
  <c r="D4" i="12"/>
  <c r="D8" i="12" s="1"/>
  <c r="D6" i="11"/>
  <c r="D7" i="11" s="1"/>
  <c r="F24" i="10"/>
  <c r="F23" i="10"/>
  <c r="D11" i="10"/>
  <c r="D9" i="10"/>
  <c r="D10" i="10" s="1"/>
  <c r="D15" i="10" s="1"/>
  <c r="D13" i="9"/>
  <c r="H15" i="9" s="1"/>
  <c r="F25" i="9"/>
  <c r="D24" i="9"/>
  <c r="F24" i="9" s="1"/>
  <c r="F23" i="9"/>
  <c r="D11" i="9"/>
  <c r="D9" i="9"/>
  <c r="D10" i="9" s="1"/>
  <c r="D12" i="9" s="1"/>
  <c r="F25" i="8"/>
  <c r="D24" i="8"/>
  <c r="F24" i="8" s="1"/>
  <c r="F23" i="8"/>
  <c r="D13" i="8" s="1"/>
  <c r="H15" i="8" s="1"/>
  <c r="D11" i="8"/>
  <c r="D9" i="8"/>
  <c r="D10" i="8" s="1"/>
  <c r="D24" i="7"/>
  <c r="F24" i="7" s="1"/>
  <c r="F25" i="7"/>
  <c r="F23" i="7"/>
  <c r="H15" i="7" s="1"/>
  <c r="D9" i="7"/>
  <c r="D10" i="7" s="1"/>
  <c r="D15" i="7" s="1"/>
  <c r="D8" i="6"/>
  <c r="D7" i="6"/>
  <c r="D9" i="6" s="1"/>
  <c r="I42" i="1"/>
  <c r="H42" i="1"/>
  <c r="G42" i="1"/>
  <c r="F42" i="1"/>
  <c r="H15" i="14"/>
  <c r="H14" i="13"/>
  <c r="H16" i="11"/>
  <c r="H13" i="6"/>
  <c r="H14" i="5"/>
  <c r="D14" i="5"/>
  <c r="J35" i="1"/>
  <c r="J8" i="1"/>
  <c r="J3" i="1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13" i="17"/>
  <c r="G41" i="17"/>
  <c r="G28" i="17"/>
  <c r="G15" i="17"/>
  <c r="G41" i="16"/>
  <c r="G28" i="16"/>
  <c r="G15" i="16"/>
  <c r="F40" i="2"/>
  <c r="F27" i="2"/>
  <c r="F14" i="2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F4" i="17"/>
  <c r="F3" i="17"/>
  <c r="C40" i="2"/>
  <c r="B40" i="2"/>
  <c r="C27" i="2"/>
  <c r="B27" i="2"/>
  <c r="C14" i="2"/>
  <c r="B14" i="2"/>
  <c r="E41" i="4"/>
  <c r="D41" i="4"/>
  <c r="C41" i="4"/>
  <c r="B41" i="4"/>
  <c r="E28" i="4"/>
  <c r="D28" i="4"/>
  <c r="C28" i="4"/>
  <c r="B28" i="4"/>
  <c r="E15" i="4"/>
  <c r="D15" i="4"/>
  <c r="C15" i="4"/>
  <c r="B15" i="4"/>
  <c r="K41" i="1"/>
  <c r="K28" i="1"/>
  <c r="K15" i="1"/>
  <c r="E3" i="16"/>
  <c r="E4" i="16"/>
  <c r="E5" i="16"/>
  <c r="E6" i="16"/>
  <c r="E7" i="16"/>
  <c r="E8" i="16"/>
  <c r="E9" i="16"/>
  <c r="E10" i="16"/>
  <c r="E11" i="16"/>
  <c r="E12" i="16"/>
  <c r="E13" i="16"/>
  <c r="E14" i="16"/>
  <c r="E16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C17" i="16"/>
  <c r="C23" i="16"/>
  <c r="C25" i="16"/>
  <c r="C31" i="16"/>
  <c r="C32" i="16"/>
  <c r="C34" i="16"/>
  <c r="C39" i="16"/>
  <c r="C40" i="16"/>
  <c r="E4" i="4"/>
  <c r="E5" i="4"/>
  <c r="E6" i="4"/>
  <c r="E7" i="4"/>
  <c r="E8" i="4"/>
  <c r="E9" i="4"/>
  <c r="E10" i="4"/>
  <c r="E11" i="4"/>
  <c r="E12" i="4"/>
  <c r="E13" i="4"/>
  <c r="E14" i="4"/>
  <c r="E16" i="4"/>
  <c r="E17" i="4"/>
  <c r="E18" i="4"/>
  <c r="E19" i="4"/>
  <c r="E20" i="4"/>
  <c r="E21" i="4"/>
  <c r="E22" i="4"/>
  <c r="E23" i="4"/>
  <c r="E24" i="4"/>
  <c r="E25" i="4"/>
  <c r="E26" i="4"/>
  <c r="E27" i="4"/>
  <c r="E29" i="4"/>
  <c r="E30" i="4"/>
  <c r="E31" i="4"/>
  <c r="E32" i="4"/>
  <c r="E33" i="4"/>
  <c r="E34" i="4"/>
  <c r="E35" i="4"/>
  <c r="E36" i="4"/>
  <c r="E37" i="4"/>
  <c r="E38" i="4"/>
  <c r="E39" i="4"/>
  <c r="E40" i="4"/>
  <c r="E42" i="4"/>
  <c r="E43" i="4"/>
  <c r="E3" i="4"/>
  <c r="D4" i="4"/>
  <c r="D5" i="4"/>
  <c r="D6" i="4"/>
  <c r="D7" i="4"/>
  <c r="D8" i="4"/>
  <c r="D9" i="4"/>
  <c r="D10" i="4"/>
  <c r="D11" i="4"/>
  <c r="D12" i="4"/>
  <c r="D13" i="4"/>
  <c r="D14" i="4"/>
  <c r="D16" i="4"/>
  <c r="D17" i="4"/>
  <c r="D18" i="4"/>
  <c r="D19" i="4"/>
  <c r="D20" i="4"/>
  <c r="D21" i="4"/>
  <c r="D22" i="4"/>
  <c r="D23" i="4"/>
  <c r="D24" i="4"/>
  <c r="D25" i="4"/>
  <c r="D26" i="4"/>
  <c r="D27" i="4"/>
  <c r="D29" i="4"/>
  <c r="D30" i="4"/>
  <c r="D31" i="4"/>
  <c r="D32" i="4"/>
  <c r="D33" i="4"/>
  <c r="D34" i="4"/>
  <c r="D35" i="4"/>
  <c r="D36" i="4"/>
  <c r="D37" i="4"/>
  <c r="D38" i="4"/>
  <c r="D39" i="4"/>
  <c r="D40" i="4"/>
  <c r="D42" i="4"/>
  <c r="D43" i="4"/>
  <c r="D3" i="4"/>
  <c r="K41" i="3"/>
  <c r="J41" i="3"/>
  <c r="I41" i="3"/>
  <c r="H41" i="3"/>
  <c r="G41" i="3"/>
  <c r="F41" i="3"/>
  <c r="E41" i="3"/>
  <c r="D41" i="3"/>
  <c r="C41" i="3"/>
  <c r="B41" i="3"/>
  <c r="K28" i="3"/>
  <c r="J28" i="3"/>
  <c r="I28" i="3"/>
  <c r="H28" i="3"/>
  <c r="G28" i="3"/>
  <c r="F28" i="3"/>
  <c r="E28" i="3"/>
  <c r="D28" i="3"/>
  <c r="C28" i="3"/>
  <c r="B28" i="3"/>
  <c r="J15" i="3"/>
  <c r="K15" i="3"/>
  <c r="F15" i="3"/>
  <c r="G15" i="3"/>
  <c r="H15" i="3"/>
  <c r="I15" i="3"/>
  <c r="C15" i="3"/>
  <c r="D15" i="3"/>
  <c r="E15" i="3"/>
  <c r="B15" i="3"/>
  <c r="K4" i="3"/>
  <c r="K5" i="3"/>
  <c r="K6" i="3"/>
  <c r="K7" i="3"/>
  <c r="K8" i="3"/>
  <c r="K9" i="3"/>
  <c r="K10" i="3"/>
  <c r="K11" i="3"/>
  <c r="K12" i="3"/>
  <c r="K13" i="3"/>
  <c r="K14" i="3"/>
  <c r="K16" i="3"/>
  <c r="K17" i="3"/>
  <c r="K18" i="3"/>
  <c r="K19" i="3"/>
  <c r="K20" i="3"/>
  <c r="K21" i="3"/>
  <c r="K22" i="3"/>
  <c r="K23" i="3"/>
  <c r="K24" i="3"/>
  <c r="K25" i="3"/>
  <c r="K26" i="3"/>
  <c r="K27" i="3"/>
  <c r="K29" i="3"/>
  <c r="K30" i="3"/>
  <c r="K31" i="3"/>
  <c r="K32" i="3"/>
  <c r="K33" i="3"/>
  <c r="K34" i="3"/>
  <c r="K35" i="3"/>
  <c r="K36" i="3"/>
  <c r="K37" i="3"/>
  <c r="K38" i="3"/>
  <c r="K39" i="3"/>
  <c r="K40" i="3"/>
  <c r="K42" i="3"/>
  <c r="K43" i="3"/>
  <c r="K3" i="3"/>
  <c r="J4" i="3"/>
  <c r="J5" i="3"/>
  <c r="J6" i="3"/>
  <c r="J7" i="3"/>
  <c r="J8" i="3"/>
  <c r="J9" i="3"/>
  <c r="J10" i="3"/>
  <c r="J11" i="3"/>
  <c r="J12" i="3"/>
  <c r="J13" i="3"/>
  <c r="J14" i="3"/>
  <c r="J16" i="3"/>
  <c r="J17" i="3"/>
  <c r="J18" i="3"/>
  <c r="J19" i="3"/>
  <c r="J20" i="3"/>
  <c r="J21" i="3"/>
  <c r="J22" i="3"/>
  <c r="J23" i="3"/>
  <c r="J24" i="3"/>
  <c r="J25" i="3"/>
  <c r="J26" i="3"/>
  <c r="J27" i="3"/>
  <c r="J29" i="3"/>
  <c r="J30" i="3"/>
  <c r="J31" i="3"/>
  <c r="J32" i="3"/>
  <c r="J33" i="3"/>
  <c r="J34" i="3"/>
  <c r="J35" i="3"/>
  <c r="J36" i="3"/>
  <c r="J37" i="3"/>
  <c r="J38" i="3"/>
  <c r="J39" i="3"/>
  <c r="J40" i="3"/>
  <c r="J42" i="3"/>
  <c r="J43" i="3"/>
  <c r="J3" i="3"/>
  <c r="I4" i="3"/>
  <c r="I5" i="3"/>
  <c r="I6" i="3"/>
  <c r="I7" i="3"/>
  <c r="I8" i="3"/>
  <c r="I9" i="3"/>
  <c r="I10" i="3"/>
  <c r="I11" i="3"/>
  <c r="I12" i="3"/>
  <c r="I13" i="3"/>
  <c r="I14" i="3"/>
  <c r="I16" i="3"/>
  <c r="I17" i="3"/>
  <c r="I18" i="3"/>
  <c r="I19" i="3"/>
  <c r="I20" i="3"/>
  <c r="I21" i="3"/>
  <c r="I22" i="3"/>
  <c r="I23" i="3"/>
  <c r="I24" i="3"/>
  <c r="I25" i="3"/>
  <c r="I26" i="3"/>
  <c r="I27" i="3"/>
  <c r="I29" i="3"/>
  <c r="I30" i="3"/>
  <c r="I31" i="3"/>
  <c r="I32" i="3"/>
  <c r="I33" i="3"/>
  <c r="I34" i="3"/>
  <c r="I35" i="3"/>
  <c r="I36" i="3"/>
  <c r="I37" i="3"/>
  <c r="I38" i="3"/>
  <c r="I39" i="3"/>
  <c r="I40" i="3"/>
  <c r="I42" i="3"/>
  <c r="I43" i="3"/>
  <c r="I3" i="3"/>
  <c r="E4" i="3"/>
  <c r="E5" i="3"/>
  <c r="E6" i="3"/>
  <c r="E7" i="3"/>
  <c r="E8" i="3"/>
  <c r="E9" i="3"/>
  <c r="E10" i="3"/>
  <c r="E11" i="3"/>
  <c r="E12" i="3"/>
  <c r="E13" i="3"/>
  <c r="E14" i="3"/>
  <c r="E16" i="3"/>
  <c r="E17" i="3"/>
  <c r="E18" i="3"/>
  <c r="E19" i="3"/>
  <c r="E20" i="3"/>
  <c r="E21" i="3"/>
  <c r="E22" i="3"/>
  <c r="E23" i="3"/>
  <c r="E24" i="3"/>
  <c r="E25" i="3"/>
  <c r="E26" i="3"/>
  <c r="E27" i="3"/>
  <c r="E29" i="3"/>
  <c r="E30" i="3"/>
  <c r="E31" i="3"/>
  <c r="E32" i="3"/>
  <c r="E33" i="3"/>
  <c r="E34" i="3"/>
  <c r="E35" i="3"/>
  <c r="E36" i="3"/>
  <c r="E37" i="3"/>
  <c r="E38" i="3"/>
  <c r="E39" i="3"/>
  <c r="E40" i="3"/>
  <c r="E42" i="3"/>
  <c r="E43" i="3"/>
  <c r="E3" i="3"/>
  <c r="D15" i="2"/>
  <c r="C16" i="16" s="1"/>
  <c r="D16" i="2"/>
  <c r="D17" i="2"/>
  <c r="C18" i="16" s="1"/>
  <c r="D18" i="2"/>
  <c r="C19" i="16" s="1"/>
  <c r="D19" i="2"/>
  <c r="C20" i="16" s="1"/>
  <c r="D20" i="2"/>
  <c r="C21" i="16" s="1"/>
  <c r="D21" i="2"/>
  <c r="C22" i="16" s="1"/>
  <c r="D22" i="2"/>
  <c r="D23" i="2"/>
  <c r="C24" i="16" s="1"/>
  <c r="D24" i="2"/>
  <c r="D25" i="2"/>
  <c r="C26" i="16" s="1"/>
  <c r="D26" i="2"/>
  <c r="C27" i="16" s="1"/>
  <c r="D28" i="2"/>
  <c r="D40" i="2" s="1"/>
  <c r="C41" i="16" s="1"/>
  <c r="D29" i="2"/>
  <c r="C30" i="16" s="1"/>
  <c r="D30" i="2"/>
  <c r="D31" i="2"/>
  <c r="D32" i="2"/>
  <c r="C33" i="16" s="1"/>
  <c r="D33" i="2"/>
  <c r="D34" i="2"/>
  <c r="C35" i="16" s="1"/>
  <c r="D35" i="2"/>
  <c r="C36" i="16" s="1"/>
  <c r="D36" i="2"/>
  <c r="C37" i="16" s="1"/>
  <c r="D37" i="2"/>
  <c r="C38" i="16" s="1"/>
  <c r="D38" i="2"/>
  <c r="D39" i="2"/>
  <c r="D41" i="2"/>
  <c r="C42" i="16" s="1"/>
  <c r="D42" i="2"/>
  <c r="C43" i="16" s="1"/>
  <c r="E3" i="2"/>
  <c r="E4" i="2"/>
  <c r="E5" i="2"/>
  <c r="E6" i="2"/>
  <c r="E7" i="2"/>
  <c r="E8" i="2"/>
  <c r="E9" i="2"/>
  <c r="E10" i="2"/>
  <c r="E11" i="2"/>
  <c r="E12" i="2"/>
  <c r="E13" i="2"/>
  <c r="E15" i="2"/>
  <c r="E27" i="2" s="1"/>
  <c r="E16" i="2"/>
  <c r="E17" i="2"/>
  <c r="E18" i="2"/>
  <c r="E19" i="2"/>
  <c r="E20" i="2"/>
  <c r="E21" i="2"/>
  <c r="E22" i="2"/>
  <c r="E23" i="2"/>
  <c r="E24" i="2"/>
  <c r="E25" i="2"/>
  <c r="E26" i="2"/>
  <c r="E28" i="2"/>
  <c r="E40" i="2" s="1"/>
  <c r="E29" i="2"/>
  <c r="E30" i="2"/>
  <c r="E31" i="2"/>
  <c r="E32" i="2"/>
  <c r="E33" i="2"/>
  <c r="E34" i="2"/>
  <c r="E35" i="2"/>
  <c r="E36" i="2"/>
  <c r="E37" i="2"/>
  <c r="E38" i="2"/>
  <c r="E39" i="2"/>
  <c r="E41" i="2"/>
  <c r="E42" i="2"/>
  <c r="E2" i="2"/>
  <c r="E14" i="2" s="1"/>
  <c r="D3" i="2"/>
  <c r="C4" i="16" s="1"/>
  <c r="D4" i="2"/>
  <c r="C5" i="16" s="1"/>
  <c r="D5" i="2"/>
  <c r="C6" i="16" s="1"/>
  <c r="D6" i="2"/>
  <c r="C7" i="16" s="1"/>
  <c r="D7" i="2"/>
  <c r="C8" i="16" s="1"/>
  <c r="D8" i="2"/>
  <c r="C9" i="16" s="1"/>
  <c r="D9" i="2"/>
  <c r="C10" i="16" s="1"/>
  <c r="D10" i="2"/>
  <c r="C11" i="16" s="1"/>
  <c r="D11" i="2"/>
  <c r="C12" i="16" s="1"/>
  <c r="D12" i="2"/>
  <c r="C13" i="16" s="1"/>
  <c r="D13" i="2"/>
  <c r="C14" i="16" s="1"/>
  <c r="D2" i="2"/>
  <c r="H41" i="1"/>
  <c r="G41" i="1"/>
  <c r="F41" i="1"/>
  <c r="D41" i="1"/>
  <c r="C41" i="1"/>
  <c r="B41" i="1"/>
  <c r="H28" i="1"/>
  <c r="G28" i="1"/>
  <c r="F28" i="1"/>
  <c r="D28" i="1"/>
  <c r="C28" i="1"/>
  <c r="B28" i="1"/>
  <c r="C15" i="1"/>
  <c r="D15" i="1"/>
  <c r="F15" i="1"/>
  <c r="G15" i="1"/>
  <c r="H15" i="1"/>
  <c r="B15" i="1"/>
  <c r="E16" i="1"/>
  <c r="L16" i="1" s="1"/>
  <c r="B16" i="16" s="1"/>
  <c r="I16" i="1"/>
  <c r="J16" i="1" s="1"/>
  <c r="E17" i="1"/>
  <c r="L17" i="1" s="1"/>
  <c r="B17" i="16" s="1"/>
  <c r="I17" i="1"/>
  <c r="J17" i="1" s="1"/>
  <c r="E18" i="1"/>
  <c r="I18" i="1"/>
  <c r="J18" i="1" s="1"/>
  <c r="I19" i="1"/>
  <c r="J19" i="1" s="1"/>
  <c r="I20" i="1"/>
  <c r="J20" i="1" s="1"/>
  <c r="I21" i="1"/>
  <c r="J21" i="1" s="1"/>
  <c r="I22" i="1"/>
  <c r="I23" i="1"/>
  <c r="J23" i="1" s="1"/>
  <c r="I24" i="1"/>
  <c r="J24" i="1" s="1"/>
  <c r="I25" i="1"/>
  <c r="J25" i="1" s="1"/>
  <c r="I26" i="1"/>
  <c r="J26" i="1" s="1"/>
  <c r="I27" i="1"/>
  <c r="J27" i="1" s="1"/>
  <c r="I29" i="1"/>
  <c r="J29" i="1" s="1"/>
  <c r="I30" i="1"/>
  <c r="I31" i="1"/>
  <c r="J31" i="1" s="1"/>
  <c r="I32" i="1"/>
  <c r="J32" i="1" s="1"/>
  <c r="I33" i="1"/>
  <c r="J33" i="1" s="1"/>
  <c r="I34" i="1"/>
  <c r="J34" i="1" s="1"/>
  <c r="I35" i="1"/>
  <c r="I36" i="1"/>
  <c r="J36" i="1" s="1"/>
  <c r="I37" i="1"/>
  <c r="J37" i="1" s="1"/>
  <c r="I38" i="1"/>
  <c r="I39" i="1"/>
  <c r="J39" i="1" s="1"/>
  <c r="I40" i="1"/>
  <c r="J40" i="1" s="1"/>
  <c r="I43" i="1"/>
  <c r="J43" i="1" s="1"/>
  <c r="I44" i="1"/>
  <c r="J44" i="1" s="1"/>
  <c r="I4" i="1"/>
  <c r="J4" i="1" s="1"/>
  <c r="I5" i="1"/>
  <c r="J5" i="1" s="1"/>
  <c r="I6" i="1"/>
  <c r="J6" i="1" s="1"/>
  <c r="I7" i="1"/>
  <c r="I8" i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3" i="1"/>
  <c r="E4" i="1"/>
  <c r="E5" i="1"/>
  <c r="M5" i="1" s="1"/>
  <c r="E6" i="1"/>
  <c r="E7" i="1"/>
  <c r="L7" i="1" s="1"/>
  <c r="B7" i="16" s="1"/>
  <c r="E8" i="1"/>
  <c r="L8" i="1" s="1"/>
  <c r="B8" i="16" s="1"/>
  <c r="E9" i="1"/>
  <c r="M9" i="1" s="1"/>
  <c r="E10" i="1"/>
  <c r="M10" i="1" s="1"/>
  <c r="E11" i="1"/>
  <c r="L11" i="1" s="1"/>
  <c r="B11" i="16" s="1"/>
  <c r="E12" i="1"/>
  <c r="E13" i="1"/>
  <c r="M13" i="1" s="1"/>
  <c r="E14" i="1"/>
  <c r="E19" i="1"/>
  <c r="M19" i="1" s="1"/>
  <c r="E20" i="1"/>
  <c r="N20" i="1" s="1"/>
  <c r="E21" i="1"/>
  <c r="N21" i="1" s="1"/>
  <c r="E22" i="1"/>
  <c r="M22" i="1" s="1"/>
  <c r="E23" i="1"/>
  <c r="M23" i="1" s="1"/>
  <c r="E24" i="1"/>
  <c r="N24" i="1" s="1"/>
  <c r="E25" i="1"/>
  <c r="L25" i="1" s="1"/>
  <c r="B25" i="16" s="1"/>
  <c r="E26" i="1"/>
  <c r="E27" i="1"/>
  <c r="M27" i="1" s="1"/>
  <c r="E29" i="1"/>
  <c r="N29" i="1" s="1"/>
  <c r="E30" i="1"/>
  <c r="L30" i="1" s="1"/>
  <c r="B30" i="16" s="1"/>
  <c r="E31" i="1"/>
  <c r="M31" i="1" s="1"/>
  <c r="E32" i="1"/>
  <c r="M32" i="1" s="1"/>
  <c r="E33" i="1"/>
  <c r="N33" i="1" s="1"/>
  <c r="E34" i="1"/>
  <c r="L34" i="1" s="1"/>
  <c r="B34" i="16" s="1"/>
  <c r="E35" i="1"/>
  <c r="E36" i="1"/>
  <c r="M36" i="1" s="1"/>
  <c r="E37" i="1"/>
  <c r="N37" i="1" s="1"/>
  <c r="E38" i="1"/>
  <c r="N38" i="1" s="1"/>
  <c r="E39" i="1"/>
  <c r="M39" i="1" s="1"/>
  <c r="E40" i="1"/>
  <c r="M40" i="1" s="1"/>
  <c r="E43" i="1"/>
  <c r="N43" i="1" s="1"/>
  <c r="E44" i="1"/>
  <c r="L44" i="1" s="1"/>
  <c r="B43" i="16" s="1"/>
  <c r="E3" i="1"/>
  <c r="E23" i="24" l="1"/>
  <c r="D20" i="24"/>
  <c r="F20" i="24" s="1"/>
  <c r="D10" i="24"/>
  <c r="F10" i="24" s="1"/>
  <c r="D12" i="24"/>
  <c r="F12" i="24" s="1"/>
  <c r="D14" i="24"/>
  <c r="F14" i="24" s="1"/>
  <c r="D4" i="24"/>
  <c r="F4" i="24" s="1"/>
  <c r="D16" i="24"/>
  <c r="F16" i="24" s="1"/>
  <c r="D15" i="24"/>
  <c r="F15" i="24" s="1"/>
  <c r="D6" i="24"/>
  <c r="D7" i="24" s="1"/>
  <c r="D17" i="24"/>
  <c r="F17" i="24" s="1"/>
  <c r="D9" i="24"/>
  <c r="D19" i="24"/>
  <c r="F19" i="24" s="1"/>
  <c r="F42" i="25"/>
  <c r="H42" i="25" s="1"/>
  <c r="F34" i="25"/>
  <c r="H34" i="25" s="1"/>
  <c r="F26" i="25"/>
  <c r="H26" i="25" s="1"/>
  <c r="F18" i="25"/>
  <c r="H18" i="25" s="1"/>
  <c r="F10" i="25"/>
  <c r="F9" i="25"/>
  <c r="F25" i="25"/>
  <c r="H25" i="25" s="1"/>
  <c r="F17" i="25"/>
  <c r="H17" i="25" s="1"/>
  <c r="F41" i="25"/>
  <c r="H41" i="25" s="1"/>
  <c r="F33" i="25"/>
  <c r="H33" i="25" s="1"/>
  <c r="D11" i="23"/>
  <c r="D13" i="23" s="1"/>
  <c r="D13" i="10"/>
  <c r="H15" i="10" s="1"/>
  <c r="D8" i="22"/>
  <c r="H10" i="22"/>
  <c r="H11" i="22" s="1"/>
  <c r="H12" i="22" s="1"/>
  <c r="H13" i="22" s="1"/>
  <c r="H14" i="22" s="1"/>
  <c r="H15" i="22" s="1"/>
  <c r="H16" i="22" s="1"/>
  <c r="H17" i="22" s="1"/>
  <c r="H18" i="22" s="1"/>
  <c r="H19" i="22" s="1"/>
  <c r="G11" i="22"/>
  <c r="D11" i="22" s="1"/>
  <c r="D9" i="20"/>
  <c r="D6" i="20"/>
  <c r="D15" i="19"/>
  <c r="D12" i="19"/>
  <c r="D14" i="13"/>
  <c r="F25" i="12"/>
  <c r="D11" i="12" s="1"/>
  <c r="H13" i="12" s="1"/>
  <c r="D10" i="12"/>
  <c r="D13" i="12"/>
  <c r="D8" i="11"/>
  <c r="D11" i="11" s="1"/>
  <c r="D16" i="11" s="1"/>
  <c r="D12" i="10"/>
  <c r="H16" i="9"/>
  <c r="D14" i="9"/>
  <c r="D15" i="9"/>
  <c r="D12" i="8"/>
  <c r="H16" i="8" s="1"/>
  <c r="H17" i="8" s="1"/>
  <c r="H18" i="8" s="1"/>
  <c r="H19" i="8" s="1"/>
  <c r="H20" i="8" s="1"/>
  <c r="D15" i="8"/>
  <c r="J30" i="1"/>
  <c r="J38" i="1"/>
  <c r="J22" i="1"/>
  <c r="J7" i="1"/>
  <c r="F17" i="16"/>
  <c r="H17" i="16" s="1"/>
  <c r="F30" i="16"/>
  <c r="H30" i="16" s="1"/>
  <c r="F21" i="16"/>
  <c r="H21" i="16" s="1"/>
  <c r="F8" i="16"/>
  <c r="F37" i="16"/>
  <c r="H37" i="16" s="1"/>
  <c r="F34" i="16"/>
  <c r="H34" i="16" s="1"/>
  <c r="F11" i="16"/>
  <c r="F7" i="16"/>
  <c r="F27" i="16"/>
  <c r="H27" i="16" s="1"/>
  <c r="F13" i="16"/>
  <c r="H13" i="16" s="1"/>
  <c r="F43" i="16"/>
  <c r="H43" i="16" s="1"/>
  <c r="F25" i="16"/>
  <c r="H25" i="16" s="1"/>
  <c r="F12" i="16"/>
  <c r="F16" i="16"/>
  <c r="H16" i="16" s="1"/>
  <c r="C29" i="16"/>
  <c r="D14" i="2"/>
  <c r="C15" i="16" s="1"/>
  <c r="D27" i="2"/>
  <c r="C28" i="16" s="1"/>
  <c r="E15" i="16"/>
  <c r="I41" i="1"/>
  <c r="L22" i="1"/>
  <c r="B22" i="16" s="1"/>
  <c r="F22" i="16" s="1"/>
  <c r="H22" i="16" s="1"/>
  <c r="Q10" i="1"/>
  <c r="E15" i="1"/>
  <c r="Q6" i="1"/>
  <c r="Q39" i="1"/>
  <c r="Q31" i="1"/>
  <c r="Q22" i="1"/>
  <c r="I28" i="1"/>
  <c r="J28" i="1" s="1"/>
  <c r="Q14" i="1"/>
  <c r="I15" i="1"/>
  <c r="J15" i="1" s="1"/>
  <c r="L31" i="1"/>
  <c r="B31" i="16" s="1"/>
  <c r="F31" i="16" s="1"/>
  <c r="H31" i="16" s="1"/>
  <c r="E28" i="1"/>
  <c r="Q13" i="1"/>
  <c r="L9" i="1"/>
  <c r="B9" i="16" s="1"/>
  <c r="F9" i="16" s="1"/>
  <c r="Q5" i="1"/>
  <c r="E41" i="1"/>
  <c r="L29" i="1"/>
  <c r="Q35" i="1"/>
  <c r="Q26" i="1"/>
  <c r="Q9" i="1"/>
  <c r="M21" i="1"/>
  <c r="Q8" i="1"/>
  <c r="Q12" i="1"/>
  <c r="Q7" i="1"/>
  <c r="Q38" i="1"/>
  <c r="Q30" i="1"/>
  <c r="Q21" i="1"/>
  <c r="Q4" i="1"/>
  <c r="Q37" i="1"/>
  <c r="L39" i="1"/>
  <c r="B39" i="16" s="1"/>
  <c r="F39" i="16" s="1"/>
  <c r="H39" i="16" s="1"/>
  <c r="P38" i="1"/>
  <c r="O38" i="1"/>
  <c r="P21" i="1"/>
  <c r="O21" i="1"/>
  <c r="L40" i="1"/>
  <c r="B40" i="16" s="1"/>
  <c r="F40" i="16" s="1"/>
  <c r="H40" i="16" s="1"/>
  <c r="L23" i="1"/>
  <c r="B23" i="16" s="1"/>
  <c r="F23" i="16" s="1"/>
  <c r="H23" i="16" s="1"/>
  <c r="L5" i="1"/>
  <c r="B5" i="16" s="1"/>
  <c r="F5" i="16" s="1"/>
  <c r="M12" i="1"/>
  <c r="N32" i="1"/>
  <c r="O32" i="1" s="1"/>
  <c r="M38" i="1"/>
  <c r="M11" i="1"/>
  <c r="N30" i="1"/>
  <c r="N34" i="1"/>
  <c r="O34" i="1" s="1"/>
  <c r="L38" i="1"/>
  <c r="B38" i="16" s="1"/>
  <c r="F38" i="16" s="1"/>
  <c r="H38" i="16" s="1"/>
  <c r="L21" i="1"/>
  <c r="B21" i="16" s="1"/>
  <c r="M37" i="1"/>
  <c r="N25" i="1"/>
  <c r="O25" i="1" s="1"/>
  <c r="M16" i="1"/>
  <c r="Q11" i="1"/>
  <c r="Q44" i="1"/>
  <c r="Q34" i="1"/>
  <c r="Q25" i="1"/>
  <c r="Q18" i="1"/>
  <c r="L37" i="1"/>
  <c r="B37" i="16" s="1"/>
  <c r="L20" i="1"/>
  <c r="B20" i="16" s="1"/>
  <c r="F20" i="16" s="1"/>
  <c r="H20" i="16" s="1"/>
  <c r="M30" i="1"/>
  <c r="M4" i="1"/>
  <c r="N23" i="1"/>
  <c r="O23" i="1" s="1"/>
  <c r="Q43" i="1"/>
  <c r="Q33" i="1"/>
  <c r="Q24" i="1"/>
  <c r="Q17" i="1"/>
  <c r="L32" i="1"/>
  <c r="B32" i="16" s="1"/>
  <c r="F32" i="16" s="1"/>
  <c r="H32" i="16" s="1"/>
  <c r="L14" i="1"/>
  <c r="B14" i="16" s="1"/>
  <c r="F14" i="16" s="1"/>
  <c r="H14" i="16" s="1"/>
  <c r="M29" i="1"/>
  <c r="N44" i="1"/>
  <c r="Q29" i="1"/>
  <c r="Q32" i="1"/>
  <c r="Q23" i="1"/>
  <c r="L13" i="1"/>
  <c r="B13" i="16" s="1"/>
  <c r="N40" i="1"/>
  <c r="O40" i="1" s="1"/>
  <c r="N17" i="1"/>
  <c r="O17" i="1" s="1"/>
  <c r="Q20" i="1"/>
  <c r="Q40" i="1"/>
  <c r="Q16" i="1"/>
  <c r="M20" i="1"/>
  <c r="N16" i="1"/>
  <c r="O20" i="1"/>
  <c r="P20" i="1"/>
  <c r="O37" i="1"/>
  <c r="P37" i="1"/>
  <c r="O29" i="1"/>
  <c r="P29" i="1"/>
  <c r="O43" i="1"/>
  <c r="P43" i="1"/>
  <c r="O33" i="1"/>
  <c r="P33" i="1"/>
  <c r="O24" i="1"/>
  <c r="P24" i="1"/>
  <c r="M3" i="1"/>
  <c r="M35" i="1"/>
  <c r="M26" i="1"/>
  <c r="N14" i="1"/>
  <c r="L36" i="1"/>
  <c r="B36" i="16" s="1"/>
  <c r="F36" i="16" s="1"/>
  <c r="H36" i="16" s="1"/>
  <c r="L27" i="1"/>
  <c r="B27" i="16" s="1"/>
  <c r="L19" i="1"/>
  <c r="B19" i="16" s="1"/>
  <c r="F19" i="16" s="1"/>
  <c r="H19" i="16" s="1"/>
  <c r="L10" i="1"/>
  <c r="B10" i="16" s="1"/>
  <c r="F10" i="16" s="1"/>
  <c r="M44" i="1"/>
  <c r="M34" i="1"/>
  <c r="M25" i="1"/>
  <c r="M17" i="1"/>
  <c r="M8" i="1"/>
  <c r="N39" i="1"/>
  <c r="N31" i="1"/>
  <c r="N22" i="1"/>
  <c r="N13" i="1"/>
  <c r="M18" i="1"/>
  <c r="L35" i="1"/>
  <c r="B35" i="16" s="1"/>
  <c r="F35" i="16" s="1"/>
  <c r="H35" i="16" s="1"/>
  <c r="L26" i="1"/>
  <c r="B26" i="16" s="1"/>
  <c r="F26" i="16" s="1"/>
  <c r="H26" i="16" s="1"/>
  <c r="L18" i="1"/>
  <c r="B18" i="16" s="1"/>
  <c r="F18" i="16" s="1"/>
  <c r="H18" i="16" s="1"/>
  <c r="M43" i="1"/>
  <c r="M33" i="1"/>
  <c r="M7" i="1"/>
  <c r="Q3" i="1"/>
  <c r="M14" i="1"/>
  <c r="M6" i="1"/>
  <c r="L3" i="1"/>
  <c r="M24" i="1"/>
  <c r="L43" i="1"/>
  <c r="B42" i="16" s="1"/>
  <c r="F42" i="16" s="1"/>
  <c r="H42" i="16" s="1"/>
  <c r="L33" i="1"/>
  <c r="B33" i="16" s="1"/>
  <c r="F33" i="16" s="1"/>
  <c r="H33" i="16" s="1"/>
  <c r="L24" i="1"/>
  <c r="B24" i="16" s="1"/>
  <c r="F24" i="16" s="1"/>
  <c r="H24" i="16" s="1"/>
  <c r="N36" i="1"/>
  <c r="N27" i="1"/>
  <c r="N19" i="1"/>
  <c r="L6" i="1"/>
  <c r="B6" i="16" s="1"/>
  <c r="F6" i="16" s="1"/>
  <c r="N35" i="1"/>
  <c r="N26" i="1"/>
  <c r="N18" i="1"/>
  <c r="Q36" i="1"/>
  <c r="Q19" i="1"/>
  <c r="Q27" i="1"/>
  <c r="L12" i="1"/>
  <c r="B12" i="16" s="1"/>
  <c r="L4" i="1"/>
  <c r="B4" i="16" s="1"/>
  <c r="F4" i="16" s="1"/>
  <c r="F9" i="24" l="1"/>
  <c r="D22" i="24"/>
  <c r="F6" i="24"/>
  <c r="F45" i="25"/>
  <c r="G45" i="25" s="1"/>
  <c r="F46" i="25"/>
  <c r="G46" i="25" s="1"/>
  <c r="H15" i="23"/>
  <c r="G10" i="22"/>
  <c r="D10" i="22" s="1"/>
  <c r="D8" i="20"/>
  <c r="H10" i="20"/>
  <c r="D14" i="19"/>
  <c r="H16" i="19"/>
  <c r="H14" i="12"/>
  <c r="D12" i="12"/>
  <c r="H16" i="10"/>
  <c r="D14" i="10"/>
  <c r="H17" i="9"/>
  <c r="H18" i="9" s="1"/>
  <c r="H19" i="9" s="1"/>
  <c r="H20" i="9" s="1"/>
  <c r="G17" i="9" s="1"/>
  <c r="D17" i="9" s="1"/>
  <c r="D14" i="8"/>
  <c r="G17" i="8"/>
  <c r="D17" i="8" s="1"/>
  <c r="G16" i="8"/>
  <c r="D16" i="8" s="1"/>
  <c r="M28" i="1"/>
  <c r="D5" i="6"/>
  <c r="D6" i="6" s="1"/>
  <c r="J41" i="1"/>
  <c r="M41" i="1"/>
  <c r="L28" i="1"/>
  <c r="B28" i="16" s="1"/>
  <c r="F28" i="16" s="1"/>
  <c r="H28" i="16" s="1"/>
  <c r="Q41" i="1"/>
  <c r="D4" i="5"/>
  <c r="D6" i="5" s="1"/>
  <c r="L15" i="1"/>
  <c r="B15" i="16" s="1"/>
  <c r="F15" i="16" s="1"/>
  <c r="B3" i="16"/>
  <c r="F3" i="16" s="1"/>
  <c r="P23" i="1"/>
  <c r="M15" i="1"/>
  <c r="B29" i="16"/>
  <c r="F29" i="16" s="1"/>
  <c r="H29" i="16" s="1"/>
  <c r="L41" i="1"/>
  <c r="B41" i="16" s="1"/>
  <c r="F41" i="16" s="1"/>
  <c r="H41" i="16" s="1"/>
  <c r="Q15" i="1"/>
  <c r="P32" i="1"/>
  <c r="P17" i="1"/>
  <c r="P34" i="1"/>
  <c r="P40" i="1"/>
  <c r="P44" i="1"/>
  <c r="O44" i="1"/>
  <c r="O16" i="1"/>
  <c r="P16" i="1"/>
  <c r="P25" i="1"/>
  <c r="P30" i="1"/>
  <c r="O30" i="1"/>
  <c r="O26" i="1"/>
  <c r="P26" i="1"/>
  <c r="O14" i="1"/>
  <c r="P14" i="1"/>
  <c r="O39" i="1"/>
  <c r="P39" i="1"/>
  <c r="P13" i="1"/>
  <c r="O13" i="1"/>
  <c r="O36" i="1"/>
  <c r="P36" i="1"/>
  <c r="O22" i="1"/>
  <c r="P22" i="1"/>
  <c r="O31" i="1"/>
  <c r="P31" i="1"/>
  <c r="O19" i="1"/>
  <c r="P19" i="1"/>
  <c r="O35" i="1"/>
  <c r="P35" i="1"/>
  <c r="O18" i="1"/>
  <c r="P18" i="1"/>
  <c r="O27" i="1"/>
  <c r="P27" i="1"/>
  <c r="F23" i="24" l="1"/>
  <c r="F22" i="24"/>
  <c r="H16" i="23"/>
  <c r="H17" i="23"/>
  <c r="H11" i="20"/>
  <c r="H12" i="20" s="1"/>
  <c r="H13" i="20" s="1"/>
  <c r="H14" i="20" s="1"/>
  <c r="H15" i="20" s="1"/>
  <c r="H16" i="20" s="1"/>
  <c r="H17" i="20" s="1"/>
  <c r="H18" i="20" s="1"/>
  <c r="H19" i="20" s="1"/>
  <c r="H17" i="19"/>
  <c r="H18" i="19" s="1"/>
  <c r="H19" i="19" s="1"/>
  <c r="H20" i="19" s="1"/>
  <c r="H21" i="19" s="1"/>
  <c r="H22" i="19" s="1"/>
  <c r="H23" i="19" s="1"/>
  <c r="H24" i="19" s="1"/>
  <c r="H25" i="19" s="1"/>
  <c r="H15" i="12"/>
  <c r="H16" i="12" s="1"/>
  <c r="H17" i="12" s="1"/>
  <c r="H18" i="12" s="1"/>
  <c r="G15" i="12" s="1"/>
  <c r="H17" i="10"/>
  <c r="H18" i="10" s="1"/>
  <c r="H19" i="10" s="1"/>
  <c r="H20" i="10" s="1"/>
  <c r="G16" i="9"/>
  <c r="D16" i="9" s="1"/>
  <c r="D10" i="5"/>
  <c r="D11" i="5" s="1"/>
  <c r="D10" i="13"/>
  <c r="D11" i="13" s="1"/>
  <c r="D12" i="11"/>
  <c r="D13" i="11" s="1"/>
  <c r="D11" i="7"/>
  <c r="D12" i="7" s="1"/>
  <c r="H16" i="7" s="1"/>
  <c r="D11" i="14"/>
  <c r="D12" i="14" s="1"/>
  <c r="D13" i="6"/>
  <c r="D10" i="6"/>
  <c r="H18" i="23" l="1"/>
  <c r="D17" i="19"/>
  <c r="G10" i="20"/>
  <c r="D10" i="20" s="1"/>
  <c r="G11" i="20"/>
  <c r="D11" i="20" s="1"/>
  <c r="G16" i="19"/>
  <c r="D16" i="19" s="1"/>
  <c r="D15" i="12"/>
  <c r="G14" i="12"/>
  <c r="D14" i="12" s="1"/>
  <c r="G17" i="10"/>
  <c r="D17" i="10" s="1"/>
  <c r="G16" i="10"/>
  <c r="D16" i="10" s="1"/>
  <c r="D12" i="6"/>
  <c r="H14" i="6"/>
  <c r="D15" i="11"/>
  <c r="H17" i="11"/>
  <c r="H16" i="14"/>
  <c r="D14" i="14"/>
  <c r="D13" i="13"/>
  <c r="H15" i="13"/>
  <c r="D14" i="7"/>
  <c r="D13" i="5"/>
  <c r="H15" i="5"/>
  <c r="H19" i="23" l="1"/>
  <c r="G15" i="23" s="1"/>
  <c r="D15" i="23" s="1"/>
  <c r="G18" i="11"/>
  <c r="G16" i="5"/>
  <c r="D16" i="5" s="1"/>
  <c r="H16" i="5"/>
  <c r="H17" i="5" s="1"/>
  <c r="H18" i="5" s="1"/>
  <c r="H19" i="5" s="1"/>
  <c r="G15" i="5"/>
  <c r="D15" i="5" s="1"/>
  <c r="H17" i="14"/>
  <c r="H18" i="14" s="1"/>
  <c r="H19" i="14" s="1"/>
  <c r="H20" i="14" s="1"/>
  <c r="G16" i="14"/>
  <c r="D16" i="14" s="1"/>
  <c r="H17" i="7"/>
  <c r="H18" i="7" s="1"/>
  <c r="H19" i="7" s="1"/>
  <c r="H20" i="7" s="1"/>
  <c r="H18" i="11"/>
  <c r="H19" i="11" s="1"/>
  <c r="H20" i="11" s="1"/>
  <c r="H21" i="11" s="1"/>
  <c r="H22" i="11" s="1"/>
  <c r="H23" i="11" s="1"/>
  <c r="H24" i="11" s="1"/>
  <c r="H25" i="11" s="1"/>
  <c r="H26" i="11" s="1"/>
  <c r="H16" i="13"/>
  <c r="H17" i="13" s="1"/>
  <c r="H18" i="13" s="1"/>
  <c r="H19" i="13" s="1"/>
  <c r="H15" i="6"/>
  <c r="H16" i="6" s="1"/>
  <c r="H17" i="6" s="1"/>
  <c r="H18" i="6" s="1"/>
  <c r="G16" i="23" l="1"/>
  <c r="D16" i="23" s="1"/>
  <c r="G17" i="11"/>
  <c r="D17" i="11" s="1"/>
  <c r="G15" i="6"/>
  <c r="D15" i="6" s="1"/>
  <c r="G17" i="14"/>
  <c r="D17" i="14" s="1"/>
  <c r="G15" i="13"/>
  <c r="D15" i="13" s="1"/>
  <c r="G16" i="13"/>
  <c r="D16" i="13" s="1"/>
  <c r="D18" i="11"/>
  <c r="G16" i="7"/>
  <c r="D16" i="7" s="1"/>
  <c r="G14" i="6"/>
  <c r="D14" i="6" s="1"/>
  <c r="G17" i="7"/>
  <c r="D17" i="7" s="1"/>
</calcChain>
</file>

<file path=xl/sharedStrings.xml><?xml version="1.0" encoding="utf-8"?>
<sst xmlns="http://schemas.openxmlformats.org/spreadsheetml/2006/main" count="618" uniqueCount="157">
  <si>
    <t>BT</t>
  </si>
  <si>
    <t>CD</t>
  </si>
  <si>
    <t>TD</t>
  </si>
  <si>
    <t>kWh</t>
  </si>
  <si>
    <t>VND</t>
  </si>
  <si>
    <t>Tổng</t>
  </si>
  <si>
    <t>Tổng cộng</t>
  </si>
  <si>
    <t>Productivity</t>
  </si>
  <si>
    <t>pair</t>
  </si>
  <si>
    <t>MJ</t>
  </si>
  <si>
    <t>kg CO2</t>
  </si>
  <si>
    <t>kWh/pr</t>
  </si>
  <si>
    <t>MJ/pr</t>
  </si>
  <si>
    <t>kgCO2/pr</t>
  </si>
  <si>
    <t>VND/kWh</t>
  </si>
  <si>
    <t>Tổng cộng 2021</t>
  </si>
  <si>
    <t>Tiêu thụ
lít</t>
  </si>
  <si>
    <t>Chi phí
VND</t>
  </si>
  <si>
    <t>Car</t>
  </si>
  <si>
    <t>Forklift</t>
  </si>
  <si>
    <t>Genetaror</t>
  </si>
  <si>
    <t>Chi phí</t>
  </si>
  <si>
    <t>Tiêu thụ</t>
  </si>
  <si>
    <t>Tổng cộng 2022</t>
  </si>
  <si>
    <t>Tổng cộng 2023</t>
  </si>
  <si>
    <t>Điện</t>
  </si>
  <si>
    <t>Xăng</t>
  </si>
  <si>
    <t>DO</t>
  </si>
  <si>
    <t>LPG</t>
  </si>
  <si>
    <t>Total</t>
  </si>
  <si>
    <t>STH</t>
  </si>
  <si>
    <t>Thông tin</t>
  </si>
  <si>
    <t>Đơn vị</t>
  </si>
  <si>
    <t>Giá trị</t>
  </si>
  <si>
    <t>Tỷ lệ điện năng có thể tiết kiệm được</t>
  </si>
  <si>
    <t>%</t>
  </si>
  <si>
    <t>Suất tiêu hao điện năng năm 2023</t>
  </si>
  <si>
    <t>kWh/đôi</t>
  </si>
  <si>
    <t>Mục tiêu STH điện năng năm 2024</t>
  </si>
  <si>
    <t>Lượng điện sử dụng trong năm 2023</t>
  </si>
  <si>
    <t>Lượng điện tiết kiệm được trong năm</t>
  </si>
  <si>
    <t>Đơn giá điện bình quân năm 2023</t>
  </si>
  <si>
    <t>VNĐ/kWh</t>
  </si>
  <si>
    <t>Số tiền tiết kiệm được</t>
  </si>
  <si>
    <r>
      <t>10</t>
    </r>
    <r>
      <rPr>
        <vertAlign val="super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 xml:space="preserve"> VNĐ</t>
    </r>
  </si>
  <si>
    <t>Chi phí đầu tư dự kiến</t>
  </si>
  <si>
    <t>Thời gian hoàn vốn giản đơn</t>
  </si>
  <si>
    <t>tháng</t>
  </si>
  <si>
    <r>
      <t>Giảm phát thải CO</t>
    </r>
    <r>
      <rPr>
        <vertAlign val="subscript"/>
        <sz val="12"/>
        <color theme="1"/>
        <rFont val="Times New Roman"/>
        <family val="1"/>
      </rPr>
      <t>2</t>
    </r>
  </si>
  <si>
    <r>
      <t>Kg CO</t>
    </r>
    <r>
      <rPr>
        <vertAlign val="subscript"/>
        <sz val="12"/>
        <color theme="1"/>
        <rFont val="Times New Roman"/>
        <family val="1"/>
      </rPr>
      <t>2e</t>
    </r>
  </si>
  <si>
    <t>Suất thu lợi nội tại (IRR)</t>
  </si>
  <si>
    <t>Giá trị hiện tại thuần (NPV) 5 năm 15%</t>
  </si>
  <si>
    <r>
      <t>10</t>
    </r>
    <r>
      <rPr>
        <vertAlign val="super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đ</t>
    </r>
  </si>
  <si>
    <t>Tổng điện năng iêu thụ năm 2023</t>
  </si>
  <si>
    <t>Đơn giá</t>
  </si>
  <si>
    <t>IRR</t>
  </si>
  <si>
    <t>NPV</t>
  </si>
  <si>
    <t>Stt</t>
  </si>
  <si>
    <t>Tỷ lệ điện năng có thể chuyển từ giờ cao điểm sang giờ bình thường</t>
  </si>
  <si>
    <t>Chênh lệch đơn giá điện bình quân năm 2023 giờ Cao điểm và giờ bình thường</t>
  </si>
  <si>
    <t>Đơn giá điện giờ bình thường bình quân năm 2023</t>
  </si>
  <si>
    <t>Đơn giá bình quân</t>
  </si>
  <si>
    <t>Tổng số máy nén khí</t>
  </si>
  <si>
    <t>Cái</t>
  </si>
  <si>
    <t>Công suất bình quân</t>
  </si>
  <si>
    <t>kW</t>
  </si>
  <si>
    <t>Thời gian làm việc bình quân/ngày</t>
  </si>
  <si>
    <t>h</t>
  </si>
  <si>
    <t>Lượng điện sử dụng cho máy nén khí trong năm 2023</t>
  </si>
  <si>
    <t>ngày</t>
  </si>
  <si>
    <t>Mua thiết bị phát hiện rò rỉ khí nén siêu âm</t>
  </si>
  <si>
    <t>Chi phí đầu tư</t>
  </si>
  <si>
    <t>Bộ</t>
  </si>
  <si>
    <t>Nhân công kiểm tra hàng tuần</t>
  </si>
  <si>
    <t>Vật liệu xử lý rò rỉ khí nén</t>
  </si>
  <si>
    <t>man.day/năm</t>
  </si>
  <si>
    <t>VND/năm</t>
  </si>
  <si>
    <t>Tỷ lệ giảm rò rỉ khí nén</t>
  </si>
  <si>
    <t>Tỷ lệ giảm tiêu thụ điện năng máy nén khí</t>
  </si>
  <si>
    <t>Chế tạo lắp đặt ống gió nóng</t>
  </si>
  <si>
    <t>Tổng số máy nén khí cần lắp đặt ống gió nóng</t>
  </si>
  <si>
    <t>Mua vật tư lắp đặt ống nén khí mạch vòng trong nhà xưởng</t>
  </si>
  <si>
    <t>Nhân công vật liệu phụ lắp đặt</t>
  </si>
  <si>
    <t>COP hiện tại của chiller lắp đặt tại AKALIA</t>
  </si>
  <si>
    <t>COP của chiller mới thay thế</t>
  </si>
  <si>
    <t>Tổng công suất điện hiện tại của hệ thống chiller</t>
  </si>
  <si>
    <t>Công suất tiết kiệm được</t>
  </si>
  <si>
    <t>Số giờ làm việc bình quân của chiller hàng ngày</t>
  </si>
  <si>
    <t>Số ngày làm việc hàng năm</t>
  </si>
  <si>
    <t>Giá trị hiện tại thuần (NPV) 10 năm 15%</t>
  </si>
  <si>
    <t>Lắp đặt cửa lấy gió hồi vào giữa nhà máy</t>
  </si>
  <si>
    <t>bộ</t>
  </si>
  <si>
    <t>Tháo bỏ quạt thông gió vách tường, thay bằng cửa nhôm kính</t>
  </si>
  <si>
    <t>Lắp đặt bộ cấp gió tươi có điều chỉnh</t>
  </si>
  <si>
    <t>Lắp đặt cửa đóng nhanh</t>
  </si>
  <si>
    <t>Tỷ lệ tiết kiệm điện năng dự kiến</t>
  </si>
  <si>
    <t>Số lượng điều hòa cần che nắng</t>
  </si>
  <si>
    <t>Công suất điều hòa bình quân</t>
  </si>
  <si>
    <t>Số ngày làm việc/năm</t>
  </si>
  <si>
    <t>h/ngày</t>
  </si>
  <si>
    <t>Tỷ lệ giảm điện năng ước tính</t>
  </si>
  <si>
    <t>Điện năng tiết kiệm được</t>
  </si>
  <si>
    <t>Công suất đèn chiếu sáng ngoài trời</t>
  </si>
  <si>
    <t>Số lượng đèn chưa có bộ NLMT (ước tính)</t>
  </si>
  <si>
    <t>Cống suất tiêu thụ</t>
  </si>
  <si>
    <t>Mức độ giảm điện năng tiêu thụ</t>
  </si>
  <si>
    <t>Thay thế 2800m2 bằng tôn Polycarbonate</t>
  </si>
  <si>
    <t>Số đèn chiếu sáng được lắp đặt trong nhà xưởng</t>
  </si>
  <si>
    <t>Công suất đèn</t>
  </si>
  <si>
    <t>Giá trị hiện tại thuần (NPV) 10 năm 10%</t>
  </si>
  <si>
    <t>Điện năng dự kiến phát hàng năm</t>
  </si>
  <si>
    <t>HỆ THỐNG QUẢN LÝ NĂNG LƯỢNG THÔNG MINH</t>
  </si>
  <si>
    <t>PHÂN TÍCH LỢI ÍCH CHI PHÍ</t>
  </si>
  <si>
    <t>CHUYỂN LÀM VIỆC GIỜ CAO ĐIỂM SANG GIỜ BÌNH THƯỜNG</t>
  </si>
  <si>
    <t>KIỂM SOÁT RÒ RỈ KHÍ NÉN</t>
  </si>
  <si>
    <t>LẮP ĐẶT CÁC TẤM VÁCH CHE MÁY NÉN KHÍ</t>
  </si>
  <si>
    <t>LẮP ĐẶT ỐNG THOÁT KHÍ NÓNG CHO MÁY NÉN KHÍ TRẠM B</t>
  </si>
  <si>
    <t>LĂP ĐẶT ỐNG KHÍ NÉN MẠCH VÒNG</t>
  </si>
  <si>
    <t>THAY THẾ HỆ THỐNG ĐIỀU HÒA KHÔNG KHÍ TRUNG TÂM HIỆU SUẤT CAO</t>
  </si>
  <si>
    <t>CÂN BẰNG ÁP SUẤT KHU VỰC ĐIỀU HÒA KHÔNG KHÍ TRUNG TÂM</t>
  </si>
  <si>
    <t>LẮP ĐẶT MÁI CHE NẮNG CHO CÁC KHỐI OUTDOOR ĐIỀU HÒA CỤC BỘ</t>
  </si>
  <si>
    <t>LẮP ĐẶT BỘ THU NĂNG LƯỢNG MẶT TRỜI CHO CÁC ĐÈN CHIẾU SÁNG NGOÀI TRỜI</t>
  </si>
  <si>
    <t>LẮP ĐẶT TÔN LẤY SÁNG GIẢM SỐ LƯỢNG ĐÈN CHIẾU SÁNG</t>
  </si>
  <si>
    <t>LẮP ĐẶT HỆ THỐNG ĐIỆN NLMT Á MÁI</t>
  </si>
  <si>
    <t>MỜI NHÀ ĐẦU TƯ LẮP ĐẶT HỆ THỐNG ĐIỆN NLMT ÁP MÁI</t>
  </si>
  <si>
    <t>THAY THẾ QUẠT VÁCH TƯỜNG BẰNG QUẠT TRUYỀN ĐỘNG TRỰC TIẾP SỬ DỤNG ĐỘNG CƠ BLDC</t>
  </si>
  <si>
    <t>Số lượng quạt làm mát vách tường cần thay thế (ước tính)</t>
  </si>
  <si>
    <t>Công suất quạt làm mát hiện tại</t>
  </si>
  <si>
    <t>Công suất quạt làm mát thay thế</t>
  </si>
  <si>
    <t>Mô tả</t>
  </si>
  <si>
    <t>Điện năng tiết kiệm</t>
  </si>
  <si>
    <t>Tiết kiệm chi phí</t>
  </si>
  <si>
    <t>R.O.I</t>
  </si>
  <si>
    <r>
      <t>Giảm thải CO</t>
    </r>
    <r>
      <rPr>
        <b/>
        <vertAlign val="subscript"/>
        <sz val="10"/>
        <color rgb="FF000000"/>
        <rFont val="Times New Roman"/>
        <family val="1"/>
      </rPr>
      <t>2</t>
    </r>
  </si>
  <si>
    <t>kWh/năm</t>
  </si>
  <si>
    <t>Triệu VNĐ</t>
  </si>
  <si>
    <r>
      <t>Kg CO</t>
    </r>
    <r>
      <rPr>
        <i/>
        <vertAlign val="subscript"/>
        <sz val="10"/>
        <color rgb="FF000000"/>
        <rFont val="Times New Roman"/>
        <family val="1"/>
      </rPr>
      <t>2e</t>
    </r>
  </si>
  <si>
    <t>Hệ thống cung cấp điện năng</t>
  </si>
  <si>
    <t>Hệ thống giám sát điện năng tiêu thụ</t>
  </si>
  <si>
    <t>Giảm thời gian cao điểm để giảm chi phí điện năng</t>
  </si>
  <si>
    <t>Lắp đặt hệ thống điện NLMT áp mái 3MWp</t>
  </si>
  <si>
    <t>3a</t>
  </si>
  <si>
    <r>
      <t>Mời nhà đầu tư lắp đặt hệ thống điện NLMT áp mái 3MWp</t>
    </r>
    <r>
      <rPr>
        <vertAlign val="superscript"/>
        <sz val="10"/>
        <color theme="1"/>
        <rFont val="Times New Roman"/>
        <family val="1"/>
      </rPr>
      <t>(*)</t>
    </r>
  </si>
  <si>
    <t>Hệ thống máy nén khí</t>
  </si>
  <si>
    <t>Thường xuyên kiểm tra giám sát giảm rò rỉ khí nén đạt mức &lt;10%</t>
  </si>
  <si>
    <t>Lắp đặt các đường ống thoát khí nóng cho các máy nén khí</t>
  </si>
  <si>
    <t>Lắp các nắp che máy nén khí</t>
  </si>
  <si>
    <t>Lắp đặt ống khép kín các ống cấp trong các nhà xưởng</t>
  </si>
  <si>
    <t>Hệ thống điều hòa không khí trung tâm</t>
  </si>
  <si>
    <t>Thay thế các hệ thống điều hòa không khí trung tâm</t>
  </si>
  <si>
    <t>Cải tạo cân bằng áp suất khu vực điều hòa không khí</t>
  </si>
  <si>
    <t>Che chắn giàn nóng điều hòa cục bộ</t>
  </si>
  <si>
    <t>Thay thế quạt thông gió vách tường bằng quạt truyền động trực tiếp sử dụng động cơ BLDC</t>
  </si>
  <si>
    <t>Hệ thống chiếu sáng</t>
  </si>
  <si>
    <t>Tích hợp bộ NLMT cho đèn LED ngoài trời</t>
  </si>
  <si>
    <t>Thay tôn lấy sáng nhà xưởng</t>
  </si>
  <si>
    <t>Tổng cộng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</si>
</sst>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  <numFmt numFmtId="166" formatCode="_(* #,##0.000_);_(* \(#,##0.0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vertAlign val="superscript"/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b/>
      <vertAlign val="subscript"/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i/>
      <vertAlign val="subscript"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43" fontId="0" fillId="0" borderId="0" xfId="1" applyFont="1"/>
    <xf numFmtId="164" fontId="0" fillId="0" borderId="0" xfId="1" applyNumberFormat="1" applyFont="1"/>
    <xf numFmtId="164" fontId="0" fillId="0" borderId="0" xfId="0" applyNumberFormat="1"/>
    <xf numFmtId="164" fontId="2" fillId="0" borderId="0" xfId="0" applyNumberFormat="1" applyFont="1"/>
    <xf numFmtId="43" fontId="2" fillId="0" borderId="0" xfId="1" applyFont="1"/>
    <xf numFmtId="164" fontId="2" fillId="0" borderId="0" xfId="1" applyNumberFormat="1" applyFont="1"/>
    <xf numFmtId="164" fontId="0" fillId="0" borderId="0" xfId="1" applyNumberFormat="1" applyFont="1" applyAlignment="1">
      <alignment horizontal="center"/>
    </xf>
    <xf numFmtId="17" fontId="0" fillId="2" borderId="0" xfId="0" applyNumberFormat="1" applyFill="1"/>
    <xf numFmtId="164" fontId="0" fillId="2" borderId="0" xfId="1" applyNumberFormat="1" applyFont="1" applyFill="1"/>
    <xf numFmtId="164" fontId="2" fillId="2" borderId="0" xfId="1" applyNumberFormat="1" applyFont="1" applyFill="1"/>
    <xf numFmtId="17" fontId="0" fillId="3" borderId="0" xfId="0" applyNumberFormat="1" applyFill="1"/>
    <xf numFmtId="164" fontId="0" fillId="3" borderId="0" xfId="1" applyNumberFormat="1" applyFont="1" applyFill="1"/>
    <xf numFmtId="164" fontId="2" fillId="3" borderId="0" xfId="1" applyNumberFormat="1" applyFont="1" applyFill="1"/>
    <xf numFmtId="17" fontId="0" fillId="4" borderId="0" xfId="0" applyNumberFormat="1" applyFill="1"/>
    <xf numFmtId="164" fontId="0" fillId="4" borderId="0" xfId="1" applyNumberFormat="1" applyFont="1" applyFill="1"/>
    <xf numFmtId="164" fontId="2" fillId="4" borderId="0" xfId="1" applyNumberFormat="1" applyFont="1" applyFill="1"/>
    <xf numFmtId="17" fontId="0" fillId="5" borderId="0" xfId="0" applyNumberFormat="1" applyFill="1"/>
    <xf numFmtId="164" fontId="0" fillId="5" borderId="0" xfId="1" applyNumberFormat="1" applyFont="1" applyFill="1"/>
    <xf numFmtId="164" fontId="2" fillId="5" borderId="0" xfId="1" applyNumberFormat="1" applyFont="1" applyFill="1"/>
    <xf numFmtId="165" fontId="0" fillId="0" borderId="0" xfId="0" applyNumberFormat="1"/>
    <xf numFmtId="43" fontId="0" fillId="0" borderId="0" xfId="0" applyNumberFormat="1"/>
    <xf numFmtId="17" fontId="2" fillId="2" borderId="0" xfId="0" applyNumberFormat="1" applyFont="1" applyFill="1"/>
    <xf numFmtId="17" fontId="2" fillId="3" borderId="0" xfId="0" applyNumberFormat="1" applyFont="1" applyFill="1"/>
    <xf numFmtId="17" fontId="2" fillId="4" borderId="0" xfId="0" applyNumberFormat="1" applyFont="1" applyFill="1"/>
    <xf numFmtId="164" fontId="0" fillId="0" borderId="0" xfId="1" applyNumberFormat="1" applyFont="1" applyAlignment="1">
      <alignment wrapText="1"/>
    </xf>
    <xf numFmtId="43" fontId="2" fillId="0" borderId="0" xfId="0" applyNumberFormat="1" applyFont="1"/>
    <xf numFmtId="9" fontId="0" fillId="0" borderId="0" xfId="0" applyNumberFormat="1"/>
    <xf numFmtId="10" fontId="0" fillId="0" borderId="0" xfId="0" applyNumberFormat="1"/>
    <xf numFmtId="8" fontId="0" fillId="0" borderId="0" xfId="0" applyNumberFormat="1"/>
    <xf numFmtId="0" fontId="0" fillId="0" borderId="1" xfId="0" applyBorder="1"/>
    <xf numFmtId="43" fontId="0" fillId="0" borderId="1" xfId="1" applyFont="1" applyBorder="1"/>
    <xf numFmtId="10" fontId="0" fillId="0" borderId="1" xfId="2" applyNumberFormat="1" applyFont="1" applyBorder="1"/>
    <xf numFmtId="43" fontId="0" fillId="0" borderId="1" xfId="0" applyNumberFormat="1" applyBorder="1"/>
    <xf numFmtId="164" fontId="0" fillId="0" borderId="1" xfId="1" applyNumberFormat="1" applyFont="1" applyBorder="1"/>
    <xf numFmtId="164" fontId="0" fillId="0" borderId="1" xfId="0" applyNumberFormat="1" applyBorder="1"/>
    <xf numFmtId="10" fontId="0" fillId="0" borderId="1" xfId="0" applyNumberFormat="1" applyBorder="1"/>
    <xf numFmtId="9" fontId="0" fillId="0" borderId="1" xfId="1" applyNumberFormat="1" applyFont="1" applyBorder="1"/>
    <xf numFmtId="166" fontId="0" fillId="0" borderId="1" xfId="1" applyNumberFormat="1" applyFont="1" applyBorder="1"/>
    <xf numFmtId="9" fontId="0" fillId="0" borderId="1" xfId="2" applyFont="1" applyBorder="1"/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justify" vertical="center" wrapText="1"/>
    </xf>
    <xf numFmtId="0" fontId="15" fillId="0" borderId="7" xfId="0" applyFont="1" applyBorder="1" applyAlignment="1">
      <alignment horizontal="justify" vertical="center" wrapText="1"/>
    </xf>
    <xf numFmtId="4" fontId="4" fillId="0" borderId="0" xfId="0" applyNumberFormat="1" applyFont="1"/>
    <xf numFmtId="9" fontId="2" fillId="0" borderId="0" xfId="2" applyFont="1"/>
    <xf numFmtId="9" fontId="0" fillId="0" borderId="0" xfId="2" applyFont="1"/>
    <xf numFmtId="10" fontId="0" fillId="0" borderId="0" xfId="2" applyNumberFormat="1" applyFont="1"/>
    <xf numFmtId="43" fontId="10" fillId="4" borderId="6" xfId="1" applyFont="1" applyFill="1" applyBorder="1" applyAlignment="1">
      <alignment horizontal="center" vertical="center" wrapText="1"/>
    </xf>
    <xf numFmtId="43" fontId="12" fillId="4" borderId="7" xfId="1" applyFont="1" applyFill="1" applyBorder="1" applyAlignment="1">
      <alignment horizontal="center" vertical="center" wrapText="1"/>
    </xf>
    <xf numFmtId="43" fontId="15" fillId="0" borderId="3" xfId="1" applyFont="1" applyFill="1" applyBorder="1" applyAlignment="1">
      <alignment horizontal="center" vertical="center" wrapText="1"/>
    </xf>
    <xf numFmtId="43" fontId="15" fillId="0" borderId="0" xfId="1" applyFont="1" applyFill="1" applyBorder="1" applyAlignment="1">
      <alignment horizontal="center" vertical="center" wrapText="1"/>
    </xf>
    <xf numFmtId="164" fontId="15" fillId="0" borderId="7" xfId="1" applyNumberFormat="1" applyFont="1" applyBorder="1" applyAlignment="1">
      <alignment horizontal="right" vertical="center" wrapText="1"/>
    </xf>
    <xf numFmtId="164" fontId="15" fillId="0" borderId="5" xfId="1" applyNumberFormat="1" applyFont="1" applyBorder="1" applyAlignment="1">
      <alignment horizontal="justify" vertical="center" wrapText="1"/>
    </xf>
    <xf numFmtId="164" fontId="15" fillId="0" borderId="7" xfId="1" applyNumberFormat="1" applyFont="1" applyBorder="1" applyAlignment="1">
      <alignment horizontal="justify" vertical="center" wrapText="1"/>
    </xf>
    <xf numFmtId="164" fontId="15" fillId="0" borderId="7" xfId="1" applyNumberFormat="1" applyFont="1" applyBorder="1" applyAlignment="1">
      <alignment horizontal="center" vertical="center" wrapText="1"/>
    </xf>
    <xf numFmtId="164" fontId="17" fillId="0" borderId="7" xfId="1" applyNumberFormat="1" applyFont="1" applyBorder="1" applyAlignment="1">
      <alignment horizontal="center" vertical="center" wrapText="1"/>
    </xf>
    <xf numFmtId="164" fontId="15" fillId="0" borderId="7" xfId="1" applyNumberFormat="1" applyFont="1" applyFill="1" applyBorder="1" applyAlignment="1">
      <alignment horizontal="center" vertical="center" wrapText="1"/>
    </xf>
    <xf numFmtId="164" fontId="17" fillId="0" borderId="7" xfId="1" applyNumberFormat="1" applyFont="1" applyFill="1" applyBorder="1" applyAlignment="1">
      <alignment horizontal="center" vertical="center" wrapText="1"/>
    </xf>
    <xf numFmtId="164" fontId="15" fillId="0" borderId="5" xfId="1" applyNumberFormat="1" applyFont="1" applyBorder="1" applyAlignment="1">
      <alignment horizontal="center" vertical="center" wrapText="1"/>
    </xf>
    <xf numFmtId="164" fontId="15" fillId="0" borderId="0" xfId="1" applyNumberFormat="1" applyFont="1" applyBorder="1" applyAlignment="1">
      <alignment horizontal="center" vertical="center" wrapText="1"/>
    </xf>
    <xf numFmtId="164" fontId="15" fillId="0" borderId="0" xfId="1" applyNumberFormat="1" applyFont="1" applyBorder="1" applyAlignment="1">
      <alignment horizontal="justify" vertical="center" wrapText="1"/>
    </xf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164" fontId="17" fillId="4" borderId="8" xfId="1" applyNumberFormat="1" applyFont="1" applyFill="1" applyBorder="1" applyAlignment="1">
      <alignment horizontal="justify" vertical="center" wrapText="1"/>
    </xf>
    <xf numFmtId="164" fontId="17" fillId="4" borderId="9" xfId="1" applyNumberFormat="1" applyFont="1" applyFill="1" applyBorder="1" applyAlignment="1">
      <alignment horizontal="justify" vertical="center" wrapText="1"/>
    </xf>
    <xf numFmtId="164" fontId="17" fillId="4" borderId="6" xfId="1" applyNumberFormat="1" applyFont="1" applyFill="1" applyBorder="1" applyAlignment="1">
      <alignment horizontal="justify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justify" vertical="center" wrapText="1"/>
    </xf>
    <xf numFmtId="0" fontId="14" fillId="4" borderId="9" xfId="0" applyFont="1" applyFill="1" applyBorder="1" applyAlignment="1">
      <alignment horizontal="justify" vertical="center" wrapText="1"/>
    </xf>
    <xf numFmtId="0" fontId="14" fillId="4" borderId="6" xfId="0" applyFont="1" applyFill="1" applyBorder="1" applyAlignment="1">
      <alignment horizontal="justify" vertical="center" wrapText="1"/>
    </xf>
    <xf numFmtId="164" fontId="14" fillId="4" borderId="8" xfId="1" applyNumberFormat="1" applyFont="1" applyFill="1" applyBorder="1" applyAlignment="1">
      <alignment horizontal="justify" vertical="center" wrapText="1"/>
    </xf>
    <xf numFmtId="164" fontId="14" fillId="4" borderId="9" xfId="1" applyNumberFormat="1" applyFont="1" applyFill="1" applyBorder="1" applyAlignment="1">
      <alignment horizontal="justify" vertical="center" wrapText="1"/>
    </xf>
    <xf numFmtId="164" fontId="14" fillId="4" borderId="6" xfId="1" applyNumberFormat="1" applyFont="1" applyFill="1" applyBorder="1" applyAlignment="1">
      <alignment horizontal="justify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workbookViewId="0">
      <pane xSplit="1" ySplit="2" topLeftCell="H12" activePane="bottomRight" state="frozen"/>
      <selection pane="topRight" activeCell="B1" sqref="B1"/>
      <selection pane="bottomLeft" activeCell="A3" sqref="A3"/>
      <selection pane="bottomRight" activeCell="M12" sqref="M12"/>
    </sheetView>
  </sheetViews>
  <sheetFormatPr defaultRowHeight="14.4" x14ac:dyDescent="0.3"/>
  <cols>
    <col min="1" max="1" width="16.21875" bestFit="1" customWidth="1"/>
    <col min="2" max="3" width="11.109375" style="2" bestFit="1" customWidth="1"/>
    <col min="4" max="4" width="10.109375" style="2" bestFit="1" customWidth="1"/>
    <col min="5" max="5" width="12.21875" style="6" bestFit="1" customWidth="1"/>
    <col min="6" max="7" width="14.6640625" style="2" bestFit="1" customWidth="1"/>
    <col min="8" max="8" width="14.77734375" style="2" bestFit="1" customWidth="1"/>
    <col min="9" max="9" width="17.33203125" style="6" bestFit="1" customWidth="1"/>
    <col min="10" max="10" width="15.77734375" style="6" customWidth="1"/>
    <col min="11" max="11" width="12.5546875" style="2" bestFit="1" customWidth="1"/>
    <col min="12" max="12" width="11.5546875" bestFit="1" customWidth="1"/>
    <col min="13" max="13" width="12.5546875" bestFit="1" customWidth="1"/>
    <col min="14" max="16" width="8.77734375" style="1"/>
    <col min="17" max="17" width="9.109375" bestFit="1" customWidth="1"/>
  </cols>
  <sheetData>
    <row r="1" spans="1:17" x14ac:dyDescent="0.3">
      <c r="B1" s="64" t="s">
        <v>3</v>
      </c>
      <c r="C1" s="64"/>
      <c r="D1" s="64"/>
      <c r="E1" s="64"/>
      <c r="F1" s="64" t="s">
        <v>4</v>
      </c>
      <c r="G1" s="64"/>
      <c r="H1" s="64"/>
      <c r="I1" s="64"/>
      <c r="J1" s="7" t="s">
        <v>54</v>
      </c>
      <c r="K1" s="2" t="s">
        <v>7</v>
      </c>
      <c r="L1" t="s">
        <v>9</v>
      </c>
      <c r="M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3">
      <c r="B2" s="2" t="s">
        <v>0</v>
      </c>
      <c r="C2" s="2" t="s">
        <v>1</v>
      </c>
      <c r="D2" s="2" t="s">
        <v>2</v>
      </c>
      <c r="E2" s="6" t="s">
        <v>6</v>
      </c>
      <c r="F2" s="2" t="s">
        <v>0</v>
      </c>
      <c r="G2" s="2" t="s">
        <v>1</v>
      </c>
      <c r="H2" s="2" t="s">
        <v>2</v>
      </c>
      <c r="I2" s="6" t="s">
        <v>6</v>
      </c>
      <c r="K2" s="2" t="s">
        <v>8</v>
      </c>
    </row>
    <row r="3" spans="1:17" ht="14.55" x14ac:dyDescent="0.35">
      <c r="A3" s="8">
        <v>44197</v>
      </c>
      <c r="B3" s="9">
        <v>129500</v>
      </c>
      <c r="C3" s="9">
        <v>52500</v>
      </c>
      <c r="D3" s="9">
        <v>3500</v>
      </c>
      <c r="E3" s="10">
        <f>SUM(B3:D3)</f>
        <v>185500</v>
      </c>
      <c r="F3" s="9">
        <v>201372500</v>
      </c>
      <c r="G3" s="9">
        <v>150727500</v>
      </c>
      <c r="H3" s="9">
        <v>3524500</v>
      </c>
      <c r="I3" s="10">
        <f>SUM(F3:H3)</f>
        <v>355624500</v>
      </c>
      <c r="J3" s="10">
        <f>I3/E3</f>
        <v>1917.1132075471698</v>
      </c>
      <c r="K3" s="2">
        <v>0</v>
      </c>
      <c r="L3" s="20">
        <f t="shared" ref="L3:L14" si="0">E3*3.6</f>
        <v>667800</v>
      </c>
      <c r="M3" s="21">
        <f t="shared" ref="M3:M14" si="1">E3*0.6766</f>
        <v>125509.3</v>
      </c>
      <c r="Q3" s="1">
        <f t="shared" ref="Q3:Q27" si="2">I3/E3</f>
        <v>1917.1132075471698</v>
      </c>
    </row>
    <row r="4" spans="1:17" ht="14.55" x14ac:dyDescent="0.35">
      <c r="A4" s="8">
        <v>44228</v>
      </c>
      <c r="B4" s="9">
        <v>94500</v>
      </c>
      <c r="C4" s="9">
        <v>31500</v>
      </c>
      <c r="D4" s="9">
        <v>3500</v>
      </c>
      <c r="E4" s="10">
        <f t="shared" ref="E4:E44" si="3">SUM(B4:D4)</f>
        <v>129500</v>
      </c>
      <c r="F4" s="9">
        <v>146947500</v>
      </c>
      <c r="G4" s="9">
        <v>90436500</v>
      </c>
      <c r="H4" s="9">
        <v>3524500</v>
      </c>
      <c r="I4" s="10">
        <f t="shared" ref="I4:I44" si="4">SUM(F4:H4)</f>
        <v>240908500</v>
      </c>
      <c r="J4" s="10">
        <f t="shared" ref="J4:J44" si="5">I4/E4</f>
        <v>1860.2972972972973</v>
      </c>
      <c r="K4" s="2">
        <v>0</v>
      </c>
      <c r="L4" s="20">
        <f t="shared" si="0"/>
        <v>466200</v>
      </c>
      <c r="M4" s="21">
        <f t="shared" si="1"/>
        <v>87619.7</v>
      </c>
      <c r="Q4" s="1">
        <f t="shared" si="2"/>
        <v>1860.2972972972973</v>
      </c>
    </row>
    <row r="5" spans="1:17" ht="14.55" x14ac:dyDescent="0.35">
      <c r="A5" s="8">
        <v>44256</v>
      </c>
      <c r="B5" s="9">
        <v>140000</v>
      </c>
      <c r="C5" s="9">
        <v>59500</v>
      </c>
      <c r="D5" s="9">
        <v>7000</v>
      </c>
      <c r="E5" s="10">
        <f t="shared" si="3"/>
        <v>206500</v>
      </c>
      <c r="F5" s="9">
        <v>217700000</v>
      </c>
      <c r="G5" s="9">
        <v>170824500</v>
      </c>
      <c r="H5" s="9">
        <v>7049000</v>
      </c>
      <c r="I5" s="10">
        <f t="shared" si="4"/>
        <v>395573500</v>
      </c>
      <c r="J5" s="10">
        <f t="shared" si="5"/>
        <v>1915.6101694915253</v>
      </c>
      <c r="K5" s="2">
        <v>0</v>
      </c>
      <c r="L5" s="20">
        <f t="shared" si="0"/>
        <v>743400</v>
      </c>
      <c r="M5" s="21">
        <f t="shared" si="1"/>
        <v>139717.9</v>
      </c>
      <c r="Q5" s="1">
        <f t="shared" si="2"/>
        <v>1915.6101694915253</v>
      </c>
    </row>
    <row r="6" spans="1:17" ht="14.55" x14ac:dyDescent="0.35">
      <c r="A6" s="8">
        <v>44287</v>
      </c>
      <c r="B6" s="9">
        <v>178500</v>
      </c>
      <c r="C6" s="9">
        <v>84000</v>
      </c>
      <c r="D6" s="9">
        <v>7000</v>
      </c>
      <c r="E6" s="10">
        <f t="shared" si="3"/>
        <v>269500</v>
      </c>
      <c r="F6" s="9">
        <v>277567500</v>
      </c>
      <c r="G6" s="9">
        <v>241164000</v>
      </c>
      <c r="H6" s="9">
        <v>7049000</v>
      </c>
      <c r="I6" s="10">
        <f t="shared" si="4"/>
        <v>525780500</v>
      </c>
      <c r="J6" s="10">
        <f t="shared" si="5"/>
        <v>1950.9480519480519</v>
      </c>
      <c r="K6" s="2">
        <v>0</v>
      </c>
      <c r="L6" s="20">
        <f t="shared" si="0"/>
        <v>970200</v>
      </c>
      <c r="M6" s="21">
        <f t="shared" si="1"/>
        <v>182343.69999999998</v>
      </c>
      <c r="Q6" s="1">
        <f t="shared" si="2"/>
        <v>1950.9480519480519</v>
      </c>
    </row>
    <row r="7" spans="1:17" ht="14.55" x14ac:dyDescent="0.35">
      <c r="A7" s="8">
        <v>44317</v>
      </c>
      <c r="B7" s="9">
        <v>164500</v>
      </c>
      <c r="C7" s="9">
        <v>84000</v>
      </c>
      <c r="D7" s="9">
        <v>7000</v>
      </c>
      <c r="E7" s="10">
        <f t="shared" si="3"/>
        <v>255500</v>
      </c>
      <c r="F7" s="9">
        <v>255797500</v>
      </c>
      <c r="G7" s="9">
        <v>241164000</v>
      </c>
      <c r="H7" s="9">
        <v>7049000</v>
      </c>
      <c r="I7" s="10">
        <f t="shared" si="4"/>
        <v>504010500</v>
      </c>
      <c r="J7" s="10">
        <f t="shared" si="5"/>
        <v>1972.6438356164383</v>
      </c>
      <c r="K7" s="2">
        <v>0</v>
      </c>
      <c r="L7" s="20">
        <f t="shared" si="0"/>
        <v>919800</v>
      </c>
      <c r="M7" s="21">
        <f t="shared" si="1"/>
        <v>172871.3</v>
      </c>
      <c r="Q7" s="1">
        <f t="shared" si="2"/>
        <v>1972.6438356164383</v>
      </c>
    </row>
    <row r="8" spans="1:17" ht="14.55" x14ac:dyDescent="0.35">
      <c r="A8" s="8">
        <v>44348</v>
      </c>
      <c r="B8" s="9">
        <v>245000</v>
      </c>
      <c r="C8" s="9">
        <v>129500</v>
      </c>
      <c r="D8" s="9">
        <v>14000</v>
      </c>
      <c r="E8" s="10">
        <f t="shared" si="3"/>
        <v>388500</v>
      </c>
      <c r="F8" s="9">
        <v>380975000</v>
      </c>
      <c r="G8" s="9">
        <v>371794500</v>
      </c>
      <c r="H8" s="9">
        <v>14098000</v>
      </c>
      <c r="I8" s="10">
        <f t="shared" si="4"/>
        <v>766867500</v>
      </c>
      <c r="J8" s="10">
        <f t="shared" si="5"/>
        <v>1973.918918918919</v>
      </c>
      <c r="K8" s="2">
        <v>0</v>
      </c>
      <c r="L8" s="20">
        <f t="shared" si="0"/>
        <v>1398600</v>
      </c>
      <c r="M8" s="21">
        <f t="shared" si="1"/>
        <v>262859.09999999998</v>
      </c>
      <c r="Q8" s="1">
        <f t="shared" si="2"/>
        <v>1973.918918918919</v>
      </c>
    </row>
    <row r="9" spans="1:17" ht="14.55" x14ac:dyDescent="0.35">
      <c r="A9" s="8">
        <v>44378</v>
      </c>
      <c r="B9" s="9">
        <v>280000</v>
      </c>
      <c r="C9" s="9">
        <v>140000</v>
      </c>
      <c r="D9" s="9">
        <v>10500</v>
      </c>
      <c r="E9" s="10">
        <f t="shared" si="3"/>
        <v>430500</v>
      </c>
      <c r="F9" s="9">
        <v>435400000</v>
      </c>
      <c r="G9" s="9">
        <v>401940000</v>
      </c>
      <c r="H9" s="9">
        <v>10573500</v>
      </c>
      <c r="I9" s="10">
        <f t="shared" si="4"/>
        <v>847913500</v>
      </c>
      <c r="J9" s="10">
        <f t="shared" si="5"/>
        <v>1969.6016260162601</v>
      </c>
      <c r="K9" s="2">
        <v>0</v>
      </c>
      <c r="L9" s="20">
        <f t="shared" si="0"/>
        <v>1549800</v>
      </c>
      <c r="M9" s="21">
        <f t="shared" si="1"/>
        <v>291276.3</v>
      </c>
      <c r="Q9" s="1">
        <f t="shared" si="2"/>
        <v>1969.6016260162601</v>
      </c>
    </row>
    <row r="10" spans="1:17" ht="14.55" x14ac:dyDescent="0.35">
      <c r="A10" s="8">
        <v>44409</v>
      </c>
      <c r="B10" s="9">
        <v>301000</v>
      </c>
      <c r="C10" s="9">
        <v>157500</v>
      </c>
      <c r="D10" s="9">
        <v>10500</v>
      </c>
      <c r="E10" s="10">
        <f t="shared" si="3"/>
        <v>469000</v>
      </c>
      <c r="F10" s="9">
        <v>468055000</v>
      </c>
      <c r="G10" s="9">
        <v>452182500</v>
      </c>
      <c r="H10" s="9">
        <v>10573500</v>
      </c>
      <c r="I10" s="10">
        <f t="shared" si="4"/>
        <v>930811000</v>
      </c>
      <c r="J10" s="10">
        <f t="shared" si="5"/>
        <v>1984.6716417910447</v>
      </c>
      <c r="K10" s="2">
        <v>0</v>
      </c>
      <c r="L10" s="20">
        <f t="shared" si="0"/>
        <v>1688400</v>
      </c>
      <c r="M10" s="21">
        <f t="shared" si="1"/>
        <v>317325.39999999997</v>
      </c>
      <c r="Q10" s="1">
        <f t="shared" si="2"/>
        <v>1984.6716417910447</v>
      </c>
    </row>
    <row r="11" spans="1:17" ht="14.55" x14ac:dyDescent="0.35">
      <c r="A11" s="8">
        <v>44440</v>
      </c>
      <c r="B11" s="9">
        <v>262500</v>
      </c>
      <c r="C11" s="9">
        <v>110285</v>
      </c>
      <c r="D11" s="9">
        <v>12530</v>
      </c>
      <c r="E11" s="10">
        <f t="shared" si="3"/>
        <v>385315</v>
      </c>
      <c r="F11" s="9">
        <v>408187500</v>
      </c>
      <c r="G11" s="9">
        <v>316628235</v>
      </c>
      <c r="H11" s="9">
        <v>12617710</v>
      </c>
      <c r="I11" s="10">
        <f t="shared" si="4"/>
        <v>737433445</v>
      </c>
      <c r="J11" s="10">
        <f t="shared" si="5"/>
        <v>1913.8456717231356</v>
      </c>
      <c r="K11" s="2">
        <v>0</v>
      </c>
      <c r="L11" s="20">
        <f t="shared" si="0"/>
        <v>1387134</v>
      </c>
      <c r="M11" s="21">
        <f t="shared" si="1"/>
        <v>260704.12899999999</v>
      </c>
      <c r="Q11" s="1">
        <f t="shared" si="2"/>
        <v>1913.8456717231356</v>
      </c>
    </row>
    <row r="12" spans="1:17" ht="14.55" x14ac:dyDescent="0.35">
      <c r="A12" s="8">
        <v>44470</v>
      </c>
      <c r="B12" s="9">
        <v>287735</v>
      </c>
      <c r="C12" s="9">
        <v>112105</v>
      </c>
      <c r="D12" s="9">
        <v>9415</v>
      </c>
      <c r="E12" s="10">
        <f t="shared" si="3"/>
        <v>409255</v>
      </c>
      <c r="F12" s="9">
        <v>447427925</v>
      </c>
      <c r="G12" s="9">
        <v>321853455</v>
      </c>
      <c r="H12" s="9">
        <v>9480905</v>
      </c>
      <c r="I12" s="10">
        <f t="shared" si="4"/>
        <v>778762285</v>
      </c>
      <c r="J12" s="10">
        <f t="shared" si="5"/>
        <v>1902.8778756520996</v>
      </c>
      <c r="K12" s="2">
        <v>0</v>
      </c>
      <c r="L12" s="20">
        <f t="shared" si="0"/>
        <v>1473318</v>
      </c>
      <c r="M12" s="21">
        <f t="shared" si="1"/>
        <v>276901.93300000002</v>
      </c>
      <c r="Q12" s="1">
        <f t="shared" si="2"/>
        <v>1902.8778756520996</v>
      </c>
    </row>
    <row r="13" spans="1:17" ht="14.55" x14ac:dyDescent="0.35">
      <c r="A13" s="8">
        <v>44501</v>
      </c>
      <c r="B13" s="9">
        <v>246271</v>
      </c>
      <c r="C13" s="9">
        <v>101283</v>
      </c>
      <c r="D13" s="9">
        <v>8894</v>
      </c>
      <c r="E13" s="10">
        <f t="shared" si="3"/>
        <v>356448</v>
      </c>
      <c r="F13" s="9">
        <v>382951405</v>
      </c>
      <c r="G13" s="9">
        <v>290783493</v>
      </c>
      <c r="H13" s="9">
        <v>8956258</v>
      </c>
      <c r="I13" s="10">
        <f t="shared" si="4"/>
        <v>682691156</v>
      </c>
      <c r="J13" s="10">
        <f t="shared" si="5"/>
        <v>1915.2615697100277</v>
      </c>
      <c r="K13" s="2">
        <v>23289</v>
      </c>
      <c r="L13" s="20">
        <f t="shared" si="0"/>
        <v>1283212.8</v>
      </c>
      <c r="M13" s="21">
        <f t="shared" si="1"/>
        <v>241172.71679999999</v>
      </c>
      <c r="N13" s="1">
        <f>E13/K13</f>
        <v>15.30542316114904</v>
      </c>
      <c r="O13" s="1">
        <f>N13*3.6</f>
        <v>55.099523380136546</v>
      </c>
      <c r="P13" s="1">
        <f>N13*0.6766</f>
        <v>10.35564931083344</v>
      </c>
      <c r="Q13" s="1">
        <f t="shared" si="2"/>
        <v>1915.2615697100277</v>
      </c>
    </row>
    <row r="14" spans="1:17" ht="14.55" x14ac:dyDescent="0.35">
      <c r="A14" s="8">
        <v>44531</v>
      </c>
      <c r="B14" s="9">
        <v>144995</v>
      </c>
      <c r="C14" s="9">
        <v>57827</v>
      </c>
      <c r="D14" s="9">
        <v>4162</v>
      </c>
      <c r="E14" s="10">
        <f t="shared" si="3"/>
        <v>206984</v>
      </c>
      <c r="F14" s="9">
        <v>225467225</v>
      </c>
      <c r="G14" s="9">
        <v>166021317</v>
      </c>
      <c r="H14" s="9">
        <v>4191134</v>
      </c>
      <c r="I14" s="10">
        <f t="shared" si="4"/>
        <v>395679676</v>
      </c>
      <c r="J14" s="10">
        <f t="shared" si="5"/>
        <v>1911.6437792293125</v>
      </c>
      <c r="K14" s="2">
        <v>27099</v>
      </c>
      <c r="L14" s="20">
        <f t="shared" si="0"/>
        <v>745142.4</v>
      </c>
      <c r="M14" s="21">
        <f t="shared" si="1"/>
        <v>140045.3744</v>
      </c>
      <c r="N14" s="1">
        <f>E14/K14</f>
        <v>7.6380678253810101</v>
      </c>
      <c r="O14" s="1">
        <f t="shared" ref="O14:O44" si="6">N14*3.6</f>
        <v>27.497044171371638</v>
      </c>
      <c r="P14" s="1">
        <f t="shared" ref="P14:P44" si="7">N14*0.6766</f>
        <v>5.1679166906527909</v>
      </c>
      <c r="Q14" s="1">
        <f t="shared" si="2"/>
        <v>1911.6437792293125</v>
      </c>
    </row>
    <row r="15" spans="1:17" x14ac:dyDescent="0.3">
      <c r="A15" s="22" t="s">
        <v>15</v>
      </c>
      <c r="B15" s="10">
        <f>SUBTOTAL(9,B3:B14)</f>
        <v>2474501</v>
      </c>
      <c r="C15" s="10">
        <f t="shared" ref="C15:I15" si="8">SUBTOTAL(9,C3:C14)</f>
        <v>1120000</v>
      </c>
      <c r="D15" s="10">
        <f t="shared" si="8"/>
        <v>98001</v>
      </c>
      <c r="E15" s="10">
        <f t="shared" si="8"/>
        <v>3692502</v>
      </c>
      <c r="F15" s="10">
        <f t="shared" si="8"/>
        <v>3847849055</v>
      </c>
      <c r="G15" s="10">
        <f t="shared" si="8"/>
        <v>3215520000</v>
      </c>
      <c r="H15" s="10">
        <f t="shared" si="8"/>
        <v>98687007</v>
      </c>
      <c r="I15" s="10">
        <f t="shared" si="8"/>
        <v>7162056062</v>
      </c>
      <c r="J15" s="10">
        <f t="shared" si="5"/>
        <v>1939.621444213165</v>
      </c>
      <c r="K15" s="10">
        <f t="shared" ref="K15:L15" si="9">SUBTOTAL(9,K3:K14)</f>
        <v>50388</v>
      </c>
      <c r="L15" s="10">
        <f t="shared" si="9"/>
        <v>13293007.200000001</v>
      </c>
      <c r="M15" s="10">
        <f t="shared" ref="M15" si="10">SUBTOTAL(9,M3:M14)</f>
        <v>2498346.8531999998</v>
      </c>
      <c r="Q15" s="1">
        <f t="shared" si="2"/>
        <v>1939.621444213165</v>
      </c>
    </row>
    <row r="16" spans="1:17" ht="14.55" x14ac:dyDescent="0.35">
      <c r="A16" s="11">
        <v>44562</v>
      </c>
      <c r="B16" s="12">
        <v>126518</v>
      </c>
      <c r="C16" s="12">
        <v>14616</v>
      </c>
      <c r="D16" s="12">
        <v>304028</v>
      </c>
      <c r="E16" s="13">
        <f t="shared" si="3"/>
        <v>445162</v>
      </c>
      <c r="F16" s="12">
        <v>363233178</v>
      </c>
      <c r="G16" s="12">
        <v>14718312</v>
      </c>
      <c r="H16" s="12">
        <v>472763540</v>
      </c>
      <c r="I16" s="13">
        <f t="shared" si="4"/>
        <v>850715030</v>
      </c>
      <c r="J16" s="13">
        <f t="shared" si="5"/>
        <v>1911.0234701075115</v>
      </c>
      <c r="K16" s="2">
        <v>88188</v>
      </c>
      <c r="L16" s="20">
        <f t="shared" ref="L16:L27" si="11">E16*3.6</f>
        <v>1602583.2</v>
      </c>
      <c r="M16" s="21">
        <f t="shared" ref="M16:M27" si="12">E16*0.6766</f>
        <v>301196.60920000001</v>
      </c>
      <c r="N16" s="1">
        <f t="shared" ref="N16:N27" si="13">E16/K16</f>
        <v>5.0478749943302947</v>
      </c>
      <c r="O16" s="1">
        <f t="shared" si="6"/>
        <v>18.172349979589061</v>
      </c>
      <c r="P16" s="1">
        <f t="shared" si="7"/>
        <v>3.4153922211638772</v>
      </c>
      <c r="Q16" s="1">
        <f t="shared" si="2"/>
        <v>1911.0234701075115</v>
      </c>
    </row>
    <row r="17" spans="1:17" ht="14.55" x14ac:dyDescent="0.35">
      <c r="A17" s="11">
        <v>44593</v>
      </c>
      <c r="B17" s="12">
        <v>123943</v>
      </c>
      <c r="C17" s="12">
        <v>12055</v>
      </c>
      <c r="D17" s="12">
        <v>295313</v>
      </c>
      <c r="E17" s="13">
        <f t="shared" si="3"/>
        <v>431311</v>
      </c>
      <c r="F17" s="12">
        <v>355840353</v>
      </c>
      <c r="G17" s="12">
        <v>12139385</v>
      </c>
      <c r="H17" s="12">
        <v>459211715</v>
      </c>
      <c r="I17" s="13">
        <f t="shared" si="4"/>
        <v>827191453</v>
      </c>
      <c r="J17" s="13">
        <f t="shared" si="5"/>
        <v>1917.8538293713816</v>
      </c>
      <c r="K17" s="2">
        <v>93437</v>
      </c>
      <c r="L17" s="20">
        <f t="shared" si="11"/>
        <v>1552719.6</v>
      </c>
      <c r="M17" s="21">
        <f t="shared" si="12"/>
        <v>291825.02259999997</v>
      </c>
      <c r="N17" s="1">
        <f t="shared" si="13"/>
        <v>4.6160621595299505</v>
      </c>
      <c r="O17" s="1">
        <f t="shared" si="6"/>
        <v>16.617823774307823</v>
      </c>
      <c r="P17" s="1">
        <f t="shared" si="7"/>
        <v>3.1232276571379645</v>
      </c>
      <c r="Q17" s="1">
        <f t="shared" si="2"/>
        <v>1917.8538293713816</v>
      </c>
    </row>
    <row r="18" spans="1:17" ht="14.55" x14ac:dyDescent="0.35">
      <c r="A18" s="11">
        <v>44621</v>
      </c>
      <c r="B18" s="12">
        <v>168013</v>
      </c>
      <c r="C18" s="12">
        <v>20301</v>
      </c>
      <c r="D18" s="12">
        <v>365845</v>
      </c>
      <c r="E18" s="13">
        <f t="shared" si="3"/>
        <v>554159</v>
      </c>
      <c r="F18" s="12">
        <v>482339484</v>
      </c>
      <c r="G18" s="12">
        <v>20443107</v>
      </c>
      <c r="H18" s="12">
        <v>568888975</v>
      </c>
      <c r="I18" s="13">
        <f t="shared" si="4"/>
        <v>1071671566</v>
      </c>
      <c r="J18" s="13">
        <f t="shared" si="5"/>
        <v>1933.8701816626635</v>
      </c>
      <c r="K18" s="2">
        <v>187118</v>
      </c>
      <c r="L18" s="20">
        <f t="shared" si="11"/>
        <v>1994972.4000000001</v>
      </c>
      <c r="M18" s="21">
        <f t="shared" si="12"/>
        <v>374943.97940000001</v>
      </c>
      <c r="N18" s="1">
        <f t="shared" si="13"/>
        <v>2.9615483277931571</v>
      </c>
      <c r="O18" s="1">
        <f t="shared" si="6"/>
        <v>10.661573980055365</v>
      </c>
      <c r="P18" s="1">
        <f t="shared" si="7"/>
        <v>2.00378359858485</v>
      </c>
      <c r="Q18" s="1">
        <f t="shared" si="2"/>
        <v>1933.8701816626635</v>
      </c>
    </row>
    <row r="19" spans="1:17" ht="14.55" x14ac:dyDescent="0.35">
      <c r="A19" s="11">
        <v>44652</v>
      </c>
      <c r="B19" s="12">
        <v>226916</v>
      </c>
      <c r="C19" s="12">
        <v>47322</v>
      </c>
      <c r="D19" s="12">
        <v>519478</v>
      </c>
      <c r="E19" s="13">
        <f t="shared" si="3"/>
        <v>793716</v>
      </c>
      <c r="F19" s="12">
        <v>651475836</v>
      </c>
      <c r="G19" s="12">
        <v>48314853</v>
      </c>
      <c r="H19" s="12">
        <v>807788290</v>
      </c>
      <c r="I19" s="13">
        <f t="shared" si="4"/>
        <v>1507578979</v>
      </c>
      <c r="J19" s="13">
        <f t="shared" si="5"/>
        <v>1899.3934593733779</v>
      </c>
      <c r="K19" s="2">
        <v>308466</v>
      </c>
      <c r="L19" s="20">
        <f t="shared" si="11"/>
        <v>2857377.6</v>
      </c>
      <c r="M19" s="21">
        <f t="shared" si="12"/>
        <v>537028.24560000002</v>
      </c>
      <c r="N19" s="1">
        <f t="shared" si="13"/>
        <v>2.5731069226430141</v>
      </c>
      <c r="O19" s="1">
        <f t="shared" si="6"/>
        <v>9.263184921514851</v>
      </c>
      <c r="P19" s="1">
        <f t="shared" si="7"/>
        <v>1.7409641438602632</v>
      </c>
      <c r="Q19" s="1">
        <f t="shared" si="2"/>
        <v>1899.3934593733779</v>
      </c>
    </row>
    <row r="20" spans="1:17" ht="14.55" x14ac:dyDescent="0.35">
      <c r="A20" s="11">
        <v>44682</v>
      </c>
      <c r="B20" s="12">
        <v>202105</v>
      </c>
      <c r="C20" s="12">
        <v>51888</v>
      </c>
      <c r="D20" s="12">
        <v>576829</v>
      </c>
      <c r="E20" s="13">
        <f t="shared" si="3"/>
        <v>830822</v>
      </c>
      <c r="F20" s="12">
        <v>580243455</v>
      </c>
      <c r="G20" s="12">
        <v>52251216</v>
      </c>
      <c r="H20" s="12">
        <v>896969095</v>
      </c>
      <c r="I20" s="13">
        <f t="shared" si="4"/>
        <v>1529463766</v>
      </c>
      <c r="J20" s="13">
        <f t="shared" si="5"/>
        <v>1840.9042683029577</v>
      </c>
      <c r="K20" s="2">
        <v>351801</v>
      </c>
      <c r="L20" s="20">
        <f t="shared" si="11"/>
        <v>2990959.2</v>
      </c>
      <c r="M20" s="21">
        <f t="shared" si="12"/>
        <v>562134.16519999993</v>
      </c>
      <c r="N20" s="1">
        <f t="shared" si="13"/>
        <v>2.3616248958928483</v>
      </c>
      <c r="O20" s="1">
        <f t="shared" si="6"/>
        <v>8.5018496252142537</v>
      </c>
      <c r="P20" s="1">
        <f t="shared" si="7"/>
        <v>1.597875404561101</v>
      </c>
      <c r="Q20" s="1">
        <f t="shared" si="2"/>
        <v>1840.9042683029577</v>
      </c>
    </row>
    <row r="21" spans="1:17" ht="14.55" x14ac:dyDescent="0.35">
      <c r="A21" s="11">
        <v>44713</v>
      </c>
      <c r="B21" s="12">
        <v>311171</v>
      </c>
      <c r="C21" s="12">
        <v>86037</v>
      </c>
      <c r="D21" s="12">
        <v>799169</v>
      </c>
      <c r="E21" s="13">
        <f t="shared" si="3"/>
        <v>1196377</v>
      </c>
      <c r="F21" s="12">
        <v>893371931</v>
      </c>
      <c r="G21" s="12">
        <v>86639259</v>
      </c>
      <c r="H21" s="12">
        <v>1242707805</v>
      </c>
      <c r="I21" s="13">
        <f t="shared" si="4"/>
        <v>2222718995</v>
      </c>
      <c r="J21" s="13">
        <f t="shared" si="5"/>
        <v>1857.8750636296083</v>
      </c>
      <c r="K21" s="2">
        <v>453767</v>
      </c>
      <c r="L21" s="20">
        <f t="shared" si="11"/>
        <v>4306957.2</v>
      </c>
      <c r="M21" s="21">
        <f t="shared" si="12"/>
        <v>809468.67819999997</v>
      </c>
      <c r="N21" s="1">
        <f t="shared" si="13"/>
        <v>2.6365447465329122</v>
      </c>
      <c r="O21" s="1">
        <f t="shared" si="6"/>
        <v>9.4915610875184839</v>
      </c>
      <c r="P21" s="1">
        <f t="shared" si="7"/>
        <v>1.7838861755041684</v>
      </c>
      <c r="Q21" s="1">
        <f t="shared" si="2"/>
        <v>1857.8750636296083</v>
      </c>
    </row>
    <row r="22" spans="1:17" ht="14.55" x14ac:dyDescent="0.35">
      <c r="A22" s="11">
        <v>44743</v>
      </c>
      <c r="B22" s="12">
        <v>336091</v>
      </c>
      <c r="C22" s="12">
        <v>101731</v>
      </c>
      <c r="D22" s="12">
        <v>838530</v>
      </c>
      <c r="E22" s="13">
        <f t="shared" si="3"/>
        <v>1276352</v>
      </c>
      <c r="F22" s="12">
        <v>964917261</v>
      </c>
      <c r="G22" s="12">
        <v>102443117</v>
      </c>
      <c r="H22" s="12">
        <v>1303914150</v>
      </c>
      <c r="I22" s="13">
        <f t="shared" si="4"/>
        <v>2371274528</v>
      </c>
      <c r="J22" s="13">
        <f t="shared" si="5"/>
        <v>1857.8531063531063</v>
      </c>
      <c r="K22" s="2">
        <v>550573</v>
      </c>
      <c r="L22" s="20">
        <f t="shared" si="11"/>
        <v>4594867.2</v>
      </c>
      <c r="M22" s="21">
        <f t="shared" si="12"/>
        <v>863579.76319999993</v>
      </c>
      <c r="N22" s="1">
        <f t="shared" si="13"/>
        <v>2.3182248312212912</v>
      </c>
      <c r="O22" s="1">
        <f t="shared" si="6"/>
        <v>8.3456093923966481</v>
      </c>
      <c r="P22" s="1">
        <f t="shared" si="7"/>
        <v>1.5685109208043255</v>
      </c>
      <c r="Q22" s="1">
        <f t="shared" si="2"/>
        <v>1857.8531063531063</v>
      </c>
    </row>
    <row r="23" spans="1:17" ht="14.55" x14ac:dyDescent="0.35">
      <c r="A23" s="11">
        <v>44774</v>
      </c>
      <c r="B23" s="12">
        <v>334430</v>
      </c>
      <c r="C23" s="12">
        <v>120806</v>
      </c>
      <c r="D23" s="12">
        <v>909496</v>
      </c>
      <c r="E23" s="13">
        <f t="shared" si="3"/>
        <v>1364732</v>
      </c>
      <c r="F23" s="12">
        <v>961440480</v>
      </c>
      <c r="G23" s="12">
        <v>121651642</v>
      </c>
      <c r="H23" s="12">
        <v>1414266280</v>
      </c>
      <c r="I23" s="13">
        <f t="shared" si="4"/>
        <v>2497358402</v>
      </c>
      <c r="J23" s="13">
        <f t="shared" si="5"/>
        <v>1829.9258770220088</v>
      </c>
      <c r="K23" s="2">
        <v>700152</v>
      </c>
      <c r="L23" s="20">
        <f t="shared" si="11"/>
        <v>4913035.2</v>
      </c>
      <c r="M23" s="21">
        <f t="shared" si="12"/>
        <v>923377.67119999998</v>
      </c>
      <c r="N23" s="1">
        <f t="shared" si="13"/>
        <v>1.949193889326889</v>
      </c>
      <c r="O23" s="1">
        <f t="shared" si="6"/>
        <v>7.0170980015768007</v>
      </c>
      <c r="P23" s="1">
        <f t="shared" si="7"/>
        <v>1.318824585518573</v>
      </c>
      <c r="Q23" s="1">
        <f t="shared" si="2"/>
        <v>1829.9258770220088</v>
      </c>
    </row>
    <row r="24" spans="1:17" ht="14.55" x14ac:dyDescent="0.35">
      <c r="A24" s="11">
        <v>44805</v>
      </c>
      <c r="B24" s="12">
        <v>313929</v>
      </c>
      <c r="C24" s="12">
        <v>153601</v>
      </c>
      <c r="D24" s="12">
        <v>900158</v>
      </c>
      <c r="E24" s="13">
        <f t="shared" si="3"/>
        <v>1367688</v>
      </c>
      <c r="F24" s="12">
        <v>901290159</v>
      </c>
      <c r="G24" s="12">
        <v>154676207</v>
      </c>
      <c r="H24" s="12">
        <v>1399745690</v>
      </c>
      <c r="I24" s="13">
        <f t="shared" si="4"/>
        <v>2455712056</v>
      </c>
      <c r="J24" s="13">
        <f t="shared" si="5"/>
        <v>1795.5206567579739</v>
      </c>
      <c r="K24" s="2">
        <v>567211</v>
      </c>
      <c r="L24" s="20">
        <f t="shared" si="11"/>
        <v>4923676.8</v>
      </c>
      <c r="M24" s="21">
        <f t="shared" si="12"/>
        <v>925377.70079999999</v>
      </c>
      <c r="N24" s="1">
        <f t="shared" si="13"/>
        <v>2.4112508396346333</v>
      </c>
      <c r="O24" s="1">
        <f t="shared" si="6"/>
        <v>8.6805030226846807</v>
      </c>
      <c r="P24" s="1">
        <f t="shared" si="7"/>
        <v>1.6314523180967928</v>
      </c>
      <c r="Q24" s="1">
        <f t="shared" si="2"/>
        <v>1795.5206567579739</v>
      </c>
    </row>
    <row r="25" spans="1:17" ht="14.55" x14ac:dyDescent="0.35">
      <c r="A25" s="11">
        <v>44835</v>
      </c>
      <c r="B25" s="12">
        <v>528150</v>
      </c>
      <c r="C25" s="12">
        <v>170660</v>
      </c>
      <c r="D25" s="12">
        <v>898660</v>
      </c>
      <c r="E25" s="13">
        <f t="shared" si="3"/>
        <v>1597470</v>
      </c>
      <c r="F25" s="12">
        <v>1158432450</v>
      </c>
      <c r="G25" s="12">
        <v>171854620</v>
      </c>
      <c r="H25" s="12">
        <v>1516158980</v>
      </c>
      <c r="I25" s="13">
        <f t="shared" si="4"/>
        <v>2846446050</v>
      </c>
      <c r="J25" s="13">
        <f t="shared" si="5"/>
        <v>1781.8463257525964</v>
      </c>
      <c r="K25" s="2">
        <v>701525</v>
      </c>
      <c r="L25" s="20">
        <f t="shared" si="11"/>
        <v>5750892</v>
      </c>
      <c r="M25" s="21">
        <f t="shared" si="12"/>
        <v>1080848.202</v>
      </c>
      <c r="N25" s="1">
        <f t="shared" si="13"/>
        <v>2.2771390898399915</v>
      </c>
      <c r="O25" s="1">
        <f t="shared" si="6"/>
        <v>8.1977007234239689</v>
      </c>
      <c r="P25" s="1">
        <f t="shared" si="7"/>
        <v>1.5407123081857381</v>
      </c>
      <c r="Q25" s="1">
        <f t="shared" si="2"/>
        <v>1781.8463257525964</v>
      </c>
    </row>
    <row r="26" spans="1:17" ht="14.55" x14ac:dyDescent="0.35">
      <c r="A26" s="11">
        <v>44866</v>
      </c>
      <c r="B26" s="12">
        <v>251510</v>
      </c>
      <c r="C26" s="12">
        <v>110530</v>
      </c>
      <c r="D26" s="12">
        <v>867650</v>
      </c>
      <c r="E26" s="13">
        <f t="shared" si="3"/>
        <v>1229690</v>
      </c>
      <c r="F26" s="12">
        <v>722085210</v>
      </c>
      <c r="G26" s="12">
        <v>111303710</v>
      </c>
      <c r="H26" s="12">
        <v>1349195750</v>
      </c>
      <c r="I26" s="13">
        <f t="shared" si="4"/>
        <v>2182584670</v>
      </c>
      <c r="J26" s="13">
        <f t="shared" si="5"/>
        <v>1774.9064154380371</v>
      </c>
      <c r="K26" s="2">
        <v>660274</v>
      </c>
      <c r="L26" s="20">
        <f t="shared" si="11"/>
        <v>4426884</v>
      </c>
      <c r="M26" s="21">
        <f t="shared" si="12"/>
        <v>832008.25399999996</v>
      </c>
      <c r="N26" s="1">
        <f t="shared" si="13"/>
        <v>1.8623934911869922</v>
      </c>
      <c r="O26" s="1">
        <f t="shared" si="6"/>
        <v>6.7046165682731722</v>
      </c>
      <c r="P26" s="1">
        <f t="shared" si="7"/>
        <v>1.2600954361371188</v>
      </c>
      <c r="Q26" s="1">
        <f t="shared" si="2"/>
        <v>1774.9064154380371</v>
      </c>
    </row>
    <row r="27" spans="1:17" ht="14.55" x14ac:dyDescent="0.35">
      <c r="A27" s="11">
        <v>44896</v>
      </c>
      <c r="B27" s="12">
        <v>173530</v>
      </c>
      <c r="C27" s="12">
        <v>110810</v>
      </c>
      <c r="D27" s="12">
        <v>769440</v>
      </c>
      <c r="E27" s="13">
        <f t="shared" si="3"/>
        <v>1053780</v>
      </c>
      <c r="F27" s="12">
        <v>498204630</v>
      </c>
      <c r="G27" s="12">
        <v>111585670</v>
      </c>
      <c r="H27" s="12">
        <v>1196479200</v>
      </c>
      <c r="I27" s="13">
        <f t="shared" si="4"/>
        <v>1806269500</v>
      </c>
      <c r="J27" s="13">
        <f t="shared" si="5"/>
        <v>1714.0859572206723</v>
      </c>
      <c r="K27" s="2">
        <v>657397</v>
      </c>
      <c r="L27" s="20">
        <f t="shared" si="11"/>
        <v>3793608</v>
      </c>
      <c r="M27" s="21">
        <f t="shared" si="12"/>
        <v>712987.54799999995</v>
      </c>
      <c r="N27" s="1">
        <f t="shared" si="13"/>
        <v>1.6029583341572899</v>
      </c>
      <c r="O27" s="1">
        <f t="shared" si="6"/>
        <v>5.770650002966244</v>
      </c>
      <c r="P27" s="1">
        <f t="shared" si="7"/>
        <v>1.0845616088908223</v>
      </c>
      <c r="Q27" s="1">
        <f t="shared" si="2"/>
        <v>1714.0859572206723</v>
      </c>
    </row>
    <row r="28" spans="1:17" x14ac:dyDescent="0.3">
      <c r="A28" s="23" t="s">
        <v>23</v>
      </c>
      <c r="B28" s="13">
        <f>SUBTOTAL(9,B16:B27)</f>
        <v>3096306</v>
      </c>
      <c r="C28" s="13">
        <f t="shared" ref="C28" si="14">SUBTOTAL(9,C16:C27)</f>
        <v>1000357</v>
      </c>
      <c r="D28" s="13">
        <f t="shared" ref="D28" si="15">SUBTOTAL(9,D16:D27)</f>
        <v>8044596</v>
      </c>
      <c r="E28" s="13">
        <f t="shared" ref="E28" si="16">SUBTOTAL(9,E16:E27)</f>
        <v>12141259</v>
      </c>
      <c r="F28" s="13">
        <f t="shared" ref="F28" si="17">SUBTOTAL(9,F16:F27)</f>
        <v>8532874427</v>
      </c>
      <c r="G28" s="13">
        <f t="shared" ref="G28" si="18">SUBTOTAL(9,G16:G27)</f>
        <v>1008021098</v>
      </c>
      <c r="H28" s="13">
        <f t="shared" ref="H28" si="19">SUBTOTAL(9,H16:H27)</f>
        <v>12628089470</v>
      </c>
      <c r="I28" s="13">
        <f t="shared" ref="I28" si="20">SUBTOTAL(9,I16:I27)</f>
        <v>22168984995</v>
      </c>
      <c r="J28" s="13">
        <f t="shared" si="5"/>
        <v>1825.9214299769076</v>
      </c>
      <c r="K28" s="13">
        <f t="shared" ref="K28" si="21">SUBTOTAL(9,K16:K27)</f>
        <v>5319909</v>
      </c>
      <c r="L28" s="13">
        <f t="shared" ref="L28" si="22">SUBTOTAL(9,L16:L27)</f>
        <v>43708532.399999999</v>
      </c>
      <c r="M28" s="13">
        <f t="shared" ref="M28" si="23">SUBTOTAL(9,M16:M27)</f>
        <v>8214775.839399999</v>
      </c>
      <c r="Q28" s="1"/>
    </row>
    <row r="29" spans="1:17" ht="14.55" x14ac:dyDescent="0.35">
      <c r="A29" s="14">
        <v>44927</v>
      </c>
      <c r="B29" s="15">
        <v>425320</v>
      </c>
      <c r="C29" s="15">
        <v>103880</v>
      </c>
      <c r="D29" s="15">
        <v>57470</v>
      </c>
      <c r="E29" s="16">
        <f t="shared" si="3"/>
        <v>586670</v>
      </c>
      <c r="F29" s="15">
        <v>661372600</v>
      </c>
      <c r="G29" s="15">
        <v>298239480</v>
      </c>
      <c r="H29" s="15">
        <v>57872290</v>
      </c>
      <c r="I29" s="16">
        <f t="shared" si="4"/>
        <v>1017484370</v>
      </c>
      <c r="J29" s="16">
        <f t="shared" si="5"/>
        <v>1734.3385037585015</v>
      </c>
      <c r="K29" s="2">
        <v>442109</v>
      </c>
      <c r="L29" s="20">
        <f t="shared" ref="L29:L40" si="24">E29*3.6</f>
        <v>2112012</v>
      </c>
      <c r="M29" s="21">
        <f t="shared" ref="M29:M40" si="25">E29*0.6766</f>
        <v>396940.92199999996</v>
      </c>
      <c r="N29" s="1">
        <f t="shared" ref="N29:N40" si="26">E29/K29</f>
        <v>1.3269804505223826</v>
      </c>
      <c r="O29" s="1">
        <f t="shared" si="6"/>
        <v>4.7771296218805777</v>
      </c>
      <c r="P29" s="1">
        <f t="shared" si="7"/>
        <v>0.89783497282344404</v>
      </c>
      <c r="Q29" s="1">
        <f t="shared" ref="Q29:Q41" si="27">I29/E29</f>
        <v>1734.3385037585015</v>
      </c>
    </row>
    <row r="30" spans="1:17" ht="14.55" x14ac:dyDescent="0.35">
      <c r="A30" s="14">
        <v>44958</v>
      </c>
      <c r="B30" s="15">
        <v>658700</v>
      </c>
      <c r="C30" s="15">
        <v>164710</v>
      </c>
      <c r="D30" s="15">
        <v>46270</v>
      </c>
      <c r="E30" s="16">
        <f t="shared" si="3"/>
        <v>869680</v>
      </c>
      <c r="F30" s="15">
        <v>1024278500</v>
      </c>
      <c r="G30" s="15">
        <v>472882410</v>
      </c>
      <c r="H30" s="15">
        <v>46593890</v>
      </c>
      <c r="I30" s="16">
        <f t="shared" si="4"/>
        <v>1543754800</v>
      </c>
      <c r="J30" s="16">
        <f t="shared" si="5"/>
        <v>1775.0837089504184</v>
      </c>
      <c r="K30" s="2">
        <v>621191</v>
      </c>
      <c r="L30" s="20">
        <f t="shared" si="24"/>
        <v>3130848</v>
      </c>
      <c r="M30" s="21">
        <f t="shared" si="25"/>
        <v>588425.48800000001</v>
      </c>
      <c r="N30" s="1">
        <f t="shared" si="26"/>
        <v>1.4000202836164721</v>
      </c>
      <c r="O30" s="1">
        <f t="shared" si="6"/>
        <v>5.0400730210192997</v>
      </c>
      <c r="P30" s="1">
        <f t="shared" si="7"/>
        <v>0.94725372389490503</v>
      </c>
      <c r="Q30" s="1">
        <f t="shared" si="27"/>
        <v>1775.0837089504184</v>
      </c>
    </row>
    <row r="31" spans="1:17" ht="14.55" x14ac:dyDescent="0.35">
      <c r="A31" s="14">
        <v>44986</v>
      </c>
      <c r="B31" s="15">
        <v>838460</v>
      </c>
      <c r="C31" s="15">
        <v>232120</v>
      </c>
      <c r="D31" s="15">
        <v>62062</v>
      </c>
      <c r="E31" s="16">
        <f t="shared" si="3"/>
        <v>1132642</v>
      </c>
      <c r="F31" s="15">
        <v>1303805300</v>
      </c>
      <c r="G31" s="15">
        <v>666416520</v>
      </c>
      <c r="H31" s="15">
        <v>62454140</v>
      </c>
      <c r="I31" s="16">
        <f t="shared" si="4"/>
        <v>2032675960</v>
      </c>
      <c r="J31" s="16">
        <f t="shared" si="5"/>
        <v>1794.6323374905751</v>
      </c>
      <c r="K31" s="2">
        <v>780207</v>
      </c>
      <c r="L31" s="20">
        <f t="shared" si="24"/>
        <v>4077511.2</v>
      </c>
      <c r="M31" s="21">
        <f t="shared" si="25"/>
        <v>766345.57719999994</v>
      </c>
      <c r="N31" s="1">
        <f t="shared" si="26"/>
        <v>1.4517198640873512</v>
      </c>
      <c r="O31" s="1">
        <f t="shared" si="6"/>
        <v>5.2261915107144645</v>
      </c>
      <c r="P31" s="1">
        <f t="shared" si="7"/>
        <v>0.98223366004150181</v>
      </c>
      <c r="Q31" s="1">
        <f t="shared" si="27"/>
        <v>1794.6323374905751</v>
      </c>
    </row>
    <row r="32" spans="1:17" ht="14.55" x14ac:dyDescent="0.35">
      <c r="A32" s="14">
        <v>45017</v>
      </c>
      <c r="B32" s="15">
        <v>885070</v>
      </c>
      <c r="C32" s="15">
        <v>268100</v>
      </c>
      <c r="D32" s="15">
        <v>75600</v>
      </c>
      <c r="E32" s="16">
        <f t="shared" si="3"/>
        <v>1228770</v>
      </c>
      <c r="F32" s="15">
        <v>1371618850</v>
      </c>
      <c r="G32" s="15">
        <v>769715100</v>
      </c>
      <c r="H32" s="15">
        <v>76129200</v>
      </c>
      <c r="I32" s="16">
        <f t="shared" si="4"/>
        <v>2217463150</v>
      </c>
      <c r="J32" s="16">
        <f t="shared" si="5"/>
        <v>1804.6201892949859</v>
      </c>
      <c r="K32" s="2">
        <v>800208</v>
      </c>
      <c r="L32" s="20">
        <f t="shared" si="24"/>
        <v>4423572</v>
      </c>
      <c r="M32" s="21">
        <f t="shared" si="25"/>
        <v>831385.78200000001</v>
      </c>
      <c r="N32" s="1">
        <f t="shared" si="26"/>
        <v>1.535563253554076</v>
      </c>
      <c r="O32" s="1">
        <f t="shared" si="6"/>
        <v>5.5280277127946738</v>
      </c>
      <c r="P32" s="1">
        <f t="shared" si="7"/>
        <v>1.0389620973546878</v>
      </c>
      <c r="Q32" s="1">
        <f t="shared" si="27"/>
        <v>1804.6201892949859</v>
      </c>
    </row>
    <row r="33" spans="1:17" ht="14.55" x14ac:dyDescent="0.35">
      <c r="A33" s="14">
        <v>45047</v>
      </c>
      <c r="B33" s="15">
        <v>835590</v>
      </c>
      <c r="C33" s="15">
        <v>266980</v>
      </c>
      <c r="D33" s="15">
        <v>57190</v>
      </c>
      <c r="E33" s="16">
        <f t="shared" si="3"/>
        <v>1159760</v>
      </c>
      <c r="F33" s="15">
        <v>1337933380</v>
      </c>
      <c r="G33" s="15">
        <v>788687900</v>
      </c>
      <c r="H33" s="15">
        <v>59142230</v>
      </c>
      <c r="I33" s="16">
        <f t="shared" si="4"/>
        <v>2185763510</v>
      </c>
      <c r="J33" s="16">
        <f t="shared" si="5"/>
        <v>1884.6688194109126</v>
      </c>
      <c r="K33" s="2">
        <v>860646</v>
      </c>
      <c r="L33" s="20">
        <f t="shared" si="24"/>
        <v>4175136</v>
      </c>
      <c r="M33" s="21">
        <f t="shared" si="25"/>
        <v>784693.61599999992</v>
      </c>
      <c r="N33" s="1">
        <f t="shared" si="26"/>
        <v>1.3475459131861416</v>
      </c>
      <c r="O33" s="1">
        <f t="shared" si="6"/>
        <v>4.8511652874701099</v>
      </c>
      <c r="P33" s="1">
        <f t="shared" si="7"/>
        <v>0.91174956486174341</v>
      </c>
      <c r="Q33" s="1">
        <f t="shared" si="27"/>
        <v>1884.6688194109126</v>
      </c>
    </row>
    <row r="34" spans="1:17" ht="14.55" x14ac:dyDescent="0.35">
      <c r="A34" s="14">
        <v>45078</v>
      </c>
      <c r="B34" s="15">
        <v>735420</v>
      </c>
      <c r="C34" s="15">
        <v>198030</v>
      </c>
      <c r="D34" s="15">
        <v>54390</v>
      </c>
      <c r="E34" s="16">
        <f t="shared" si="3"/>
        <v>987840</v>
      </c>
      <c r="F34" s="15">
        <v>1179613680</v>
      </c>
      <c r="G34" s="15">
        <v>585970770</v>
      </c>
      <c r="H34" s="15">
        <v>56402430</v>
      </c>
      <c r="I34" s="16">
        <f t="shared" si="4"/>
        <v>1821986880</v>
      </c>
      <c r="J34" s="16">
        <f t="shared" si="5"/>
        <v>1844.4149659863945</v>
      </c>
      <c r="K34" s="2">
        <v>800166</v>
      </c>
      <c r="L34" s="20">
        <f t="shared" si="24"/>
        <v>3556224</v>
      </c>
      <c r="M34" s="21">
        <f t="shared" si="25"/>
        <v>668372.54399999999</v>
      </c>
      <c r="N34" s="1">
        <f t="shared" si="26"/>
        <v>1.2345438321548279</v>
      </c>
      <c r="O34" s="1">
        <f t="shared" si="6"/>
        <v>4.4443577957573801</v>
      </c>
      <c r="P34" s="1">
        <f t="shared" si="7"/>
        <v>0.83529235683595648</v>
      </c>
      <c r="Q34" s="1">
        <f t="shared" si="27"/>
        <v>1844.4149659863945</v>
      </c>
    </row>
    <row r="35" spans="1:17" ht="14.55" x14ac:dyDescent="0.35">
      <c r="A35" s="14">
        <v>45108</v>
      </c>
      <c r="B35" s="15">
        <v>790090</v>
      </c>
      <c r="C35" s="15">
        <v>245420</v>
      </c>
      <c r="D35" s="15">
        <v>64120</v>
      </c>
      <c r="E35" s="16">
        <f t="shared" si="3"/>
        <v>1099630</v>
      </c>
      <c r="F35" s="15">
        <v>1378798400</v>
      </c>
      <c r="G35" s="15">
        <v>726197780</v>
      </c>
      <c r="H35" s="15">
        <v>66492440</v>
      </c>
      <c r="I35" s="16">
        <f t="shared" si="4"/>
        <v>2171488620</v>
      </c>
      <c r="J35" s="16">
        <f t="shared" si="5"/>
        <v>1974.7447959768285</v>
      </c>
      <c r="K35" s="2">
        <v>766156</v>
      </c>
      <c r="L35" s="20">
        <f t="shared" si="24"/>
        <v>3958668</v>
      </c>
      <c r="M35" s="21">
        <f t="shared" si="25"/>
        <v>744009.65799999994</v>
      </c>
      <c r="N35" s="1">
        <f t="shared" si="26"/>
        <v>1.4352560053044028</v>
      </c>
      <c r="O35" s="1">
        <f t="shared" si="6"/>
        <v>5.1669216190958505</v>
      </c>
      <c r="P35" s="1">
        <f t="shared" si="7"/>
        <v>0.97109421318895894</v>
      </c>
      <c r="Q35" s="1">
        <f t="shared" si="27"/>
        <v>1974.7447959768285</v>
      </c>
    </row>
    <row r="36" spans="1:17" ht="14.55" x14ac:dyDescent="0.35">
      <c r="A36" s="14">
        <v>45139</v>
      </c>
      <c r="B36" s="15">
        <v>999390</v>
      </c>
      <c r="C36" s="15">
        <v>301910</v>
      </c>
      <c r="D36" s="15">
        <v>109760</v>
      </c>
      <c r="E36" s="16">
        <f t="shared" si="3"/>
        <v>1411060</v>
      </c>
      <c r="F36" s="15">
        <v>1603021560</v>
      </c>
      <c r="G36" s="15">
        <v>893351690</v>
      </c>
      <c r="H36" s="15">
        <v>113821120</v>
      </c>
      <c r="I36" s="16">
        <f t="shared" si="4"/>
        <v>2610194370</v>
      </c>
      <c r="J36" s="16">
        <f t="shared" si="5"/>
        <v>1849.8110427621789</v>
      </c>
      <c r="K36" s="2">
        <v>840154</v>
      </c>
      <c r="L36" s="20">
        <f t="shared" si="24"/>
        <v>5079816</v>
      </c>
      <c r="M36" s="21">
        <f t="shared" si="25"/>
        <v>954723.196</v>
      </c>
      <c r="N36" s="1">
        <f t="shared" si="26"/>
        <v>1.6795254203396044</v>
      </c>
      <c r="O36" s="1">
        <f t="shared" si="6"/>
        <v>6.0462915132225756</v>
      </c>
      <c r="P36" s="1">
        <f t="shared" si="7"/>
        <v>1.1363668994017764</v>
      </c>
      <c r="Q36" s="1">
        <f t="shared" si="27"/>
        <v>1849.8110427621789</v>
      </c>
    </row>
    <row r="37" spans="1:17" ht="14.55" x14ac:dyDescent="0.35">
      <c r="A37" s="14">
        <v>45170</v>
      </c>
      <c r="B37" s="15">
        <v>806036</v>
      </c>
      <c r="C37" s="15">
        <v>292310</v>
      </c>
      <c r="D37" s="15">
        <v>206080</v>
      </c>
      <c r="E37" s="16">
        <f t="shared" si="3"/>
        <v>1304426</v>
      </c>
      <c r="F37" s="15">
        <v>1468510120</v>
      </c>
      <c r="G37" s="15">
        <v>866010530</v>
      </c>
      <c r="H37" s="15">
        <v>101480820</v>
      </c>
      <c r="I37" s="16">
        <f t="shared" si="4"/>
        <v>2436001470</v>
      </c>
      <c r="J37" s="16">
        <f t="shared" si="5"/>
        <v>1867.4892021471512</v>
      </c>
      <c r="K37" s="2">
        <v>740042</v>
      </c>
      <c r="L37" s="20">
        <f t="shared" si="24"/>
        <v>4695933.6000000006</v>
      </c>
      <c r="M37" s="21">
        <f t="shared" si="25"/>
        <v>882574.63159999996</v>
      </c>
      <c r="N37" s="1">
        <f t="shared" si="26"/>
        <v>1.7626377962331867</v>
      </c>
      <c r="O37" s="1">
        <f t="shared" si="6"/>
        <v>6.3454960664394724</v>
      </c>
      <c r="P37" s="1">
        <f t="shared" si="7"/>
        <v>1.1926007329313741</v>
      </c>
      <c r="Q37" s="1">
        <f t="shared" si="27"/>
        <v>1867.4892021471512</v>
      </c>
    </row>
    <row r="38" spans="1:17" ht="14.55" x14ac:dyDescent="0.35">
      <c r="A38" s="14">
        <v>45200</v>
      </c>
      <c r="B38" s="15">
        <v>837193</v>
      </c>
      <c r="C38" s="15">
        <v>334250</v>
      </c>
      <c r="D38" s="15">
        <v>118370</v>
      </c>
      <c r="E38" s="16">
        <f t="shared" si="3"/>
        <v>1289813</v>
      </c>
      <c r="F38" s="15">
        <v>1628733680</v>
      </c>
      <c r="G38" s="15">
        <v>989045750</v>
      </c>
      <c r="H38" s="15">
        <v>122749690</v>
      </c>
      <c r="I38" s="16">
        <f t="shared" si="4"/>
        <v>2740529120</v>
      </c>
      <c r="J38" s="16">
        <f t="shared" si="5"/>
        <v>2124.7491845717168</v>
      </c>
      <c r="K38" s="2">
        <v>860065</v>
      </c>
      <c r="L38" s="20">
        <f t="shared" si="24"/>
        <v>4643326.8</v>
      </c>
      <c r="M38" s="21">
        <f t="shared" si="25"/>
        <v>872687.47580000001</v>
      </c>
      <c r="N38" s="1">
        <f t="shared" si="26"/>
        <v>1.4996692110480021</v>
      </c>
      <c r="O38" s="1">
        <f t="shared" si="6"/>
        <v>5.3988091597728074</v>
      </c>
      <c r="P38" s="1">
        <f t="shared" si="7"/>
        <v>1.0146761881950781</v>
      </c>
      <c r="Q38" s="1">
        <f t="shared" si="27"/>
        <v>2124.7491845717168</v>
      </c>
    </row>
    <row r="39" spans="1:17" ht="14.55" x14ac:dyDescent="0.35">
      <c r="A39" s="14">
        <v>45231</v>
      </c>
      <c r="B39" s="15">
        <v>874790</v>
      </c>
      <c r="C39" s="15">
        <v>394100</v>
      </c>
      <c r="D39" s="15">
        <v>122150</v>
      </c>
      <c r="E39" s="16">
        <f t="shared" si="3"/>
        <v>1391040</v>
      </c>
      <c r="F39" s="15">
        <v>1595184850</v>
      </c>
      <c r="G39" s="15">
        <v>958436640</v>
      </c>
      <c r="H39" s="15">
        <v>116810050</v>
      </c>
      <c r="I39" s="16">
        <f t="shared" si="4"/>
        <v>2670431540</v>
      </c>
      <c r="J39" s="16">
        <f t="shared" si="5"/>
        <v>1919.7374194847021</v>
      </c>
      <c r="K39" s="2">
        <v>901232</v>
      </c>
      <c r="L39" s="20">
        <f t="shared" si="24"/>
        <v>5007744</v>
      </c>
      <c r="M39" s="21">
        <f t="shared" si="25"/>
        <v>941177.66399999999</v>
      </c>
      <c r="N39" s="1">
        <f t="shared" si="26"/>
        <v>1.5434871376071866</v>
      </c>
      <c r="O39" s="1">
        <f t="shared" si="6"/>
        <v>5.5565536953858716</v>
      </c>
      <c r="P39" s="1">
        <f t="shared" si="7"/>
        <v>1.0443233973050223</v>
      </c>
      <c r="Q39" s="1">
        <f t="shared" si="27"/>
        <v>1919.7374194847021</v>
      </c>
    </row>
    <row r="40" spans="1:17" ht="14.55" x14ac:dyDescent="0.35">
      <c r="A40" s="14">
        <v>45261</v>
      </c>
      <c r="B40" s="15">
        <v>979020</v>
      </c>
      <c r="C40" s="15">
        <v>302120</v>
      </c>
      <c r="D40" s="15">
        <v>93380</v>
      </c>
      <c r="E40" s="16">
        <f t="shared" si="3"/>
        <v>1374520</v>
      </c>
      <c r="F40" s="15">
        <v>1633984380</v>
      </c>
      <c r="G40" s="15">
        <v>934457160</v>
      </c>
      <c r="H40" s="15">
        <v>101223920</v>
      </c>
      <c r="I40" s="16">
        <f t="shared" si="4"/>
        <v>2669665460</v>
      </c>
      <c r="J40" s="16">
        <f t="shared" si="5"/>
        <v>1942.2529028315339</v>
      </c>
      <c r="K40" s="2">
        <v>1020188</v>
      </c>
      <c r="L40" s="20">
        <f t="shared" si="24"/>
        <v>4948272</v>
      </c>
      <c r="M40" s="21">
        <f t="shared" si="25"/>
        <v>930000.23199999996</v>
      </c>
      <c r="N40" s="1">
        <f t="shared" si="26"/>
        <v>1.3473202978274592</v>
      </c>
      <c r="O40" s="1">
        <f t="shared" si="6"/>
        <v>4.8503530721788533</v>
      </c>
      <c r="P40" s="1">
        <f t="shared" si="7"/>
        <v>0.91159691351005889</v>
      </c>
      <c r="Q40" s="1">
        <f t="shared" si="27"/>
        <v>1942.2529028315339</v>
      </c>
    </row>
    <row r="41" spans="1:17" x14ac:dyDescent="0.3">
      <c r="A41" s="24" t="s">
        <v>24</v>
      </c>
      <c r="B41" s="16">
        <f>SUBTOTAL(9,B29:B40)</f>
        <v>9665079</v>
      </c>
      <c r="C41" s="16">
        <f t="shared" ref="C41" si="28">SUBTOTAL(9,C29:C40)</f>
        <v>3103930</v>
      </c>
      <c r="D41" s="16">
        <f t="shared" ref="D41" si="29">SUBTOTAL(9,D29:D40)</f>
        <v>1066842</v>
      </c>
      <c r="E41" s="16">
        <f t="shared" ref="E41" si="30">SUBTOTAL(9,E29:E40)</f>
        <v>13835851</v>
      </c>
      <c r="F41" s="16">
        <f t="shared" ref="F41" si="31">SUBTOTAL(9,F29:F40)</f>
        <v>16186855300</v>
      </c>
      <c r="G41" s="16">
        <f t="shared" ref="G41" si="32">SUBTOTAL(9,G29:G40)</f>
        <v>8949411730</v>
      </c>
      <c r="H41" s="16">
        <f t="shared" ref="H41" si="33">SUBTOTAL(9,H29:H40)</f>
        <v>981172220</v>
      </c>
      <c r="I41" s="16">
        <f t="shared" ref="I41" si="34">SUBTOTAL(9,I29:I40)</f>
        <v>26117439250</v>
      </c>
      <c r="J41" s="16">
        <f t="shared" si="5"/>
        <v>1887.6641017599857</v>
      </c>
      <c r="K41" s="16">
        <f t="shared" ref="K41" si="35">SUBTOTAL(9,K29:K40)</f>
        <v>9432364</v>
      </c>
      <c r="L41" s="16">
        <f t="shared" ref="L41" si="36">SUBTOTAL(9,L29:L40)</f>
        <v>49809063.599999994</v>
      </c>
      <c r="M41" s="16">
        <f t="shared" ref="M41" si="37">SUBTOTAL(9,M29:M40)</f>
        <v>9361336.7866000012</v>
      </c>
      <c r="Q41" s="1">
        <f t="shared" si="27"/>
        <v>1887.6641017599857</v>
      </c>
    </row>
    <row r="42" spans="1:17" x14ac:dyDescent="0.3">
      <c r="A42" s="24" t="s">
        <v>61</v>
      </c>
      <c r="B42" s="16"/>
      <c r="C42" s="16"/>
      <c r="D42" s="16"/>
      <c r="E42" s="16"/>
      <c r="F42" s="16">
        <f>F41/B41</f>
        <v>1674.7773401541776</v>
      </c>
      <c r="G42" s="16">
        <f t="shared" ref="G42:I42" si="38">G41/C41</f>
        <v>2883.2517904720789</v>
      </c>
      <c r="H42" s="16">
        <f t="shared" si="38"/>
        <v>919.69778092726006</v>
      </c>
      <c r="I42" s="16">
        <f t="shared" si="38"/>
        <v>1887.6641017599857</v>
      </c>
      <c r="J42" s="16"/>
      <c r="K42" s="16"/>
      <c r="L42" s="16"/>
      <c r="M42" s="16"/>
      <c r="Q42" s="1"/>
    </row>
    <row r="43" spans="1:17" x14ac:dyDescent="0.3">
      <c r="A43" s="17">
        <v>45292</v>
      </c>
      <c r="B43" s="18">
        <v>936250</v>
      </c>
      <c r="C43" s="18">
        <v>271390</v>
      </c>
      <c r="D43" s="18">
        <v>95060</v>
      </c>
      <c r="E43" s="19">
        <f t="shared" si="3"/>
        <v>1302700</v>
      </c>
      <c r="F43" s="18">
        <v>1562601250</v>
      </c>
      <c r="G43" s="18">
        <v>839409270</v>
      </c>
      <c r="H43" s="18">
        <v>103045040</v>
      </c>
      <c r="I43" s="19">
        <f t="shared" si="4"/>
        <v>2505055560</v>
      </c>
      <c r="J43" s="19">
        <f t="shared" si="5"/>
        <v>1922.9719505642129</v>
      </c>
      <c r="K43" s="2">
        <v>1151428</v>
      </c>
      <c r="L43" s="20">
        <f>E43*3.6</f>
        <v>4689720</v>
      </c>
      <c r="M43" s="21">
        <f>E43*0.6766</f>
        <v>881406.82</v>
      </c>
      <c r="N43" s="1">
        <f>E43/K43</f>
        <v>1.1313777326936638</v>
      </c>
      <c r="O43" s="1">
        <f t="shared" si="6"/>
        <v>4.0729598376971898</v>
      </c>
      <c r="P43" s="1">
        <f t="shared" si="7"/>
        <v>0.76549017394053287</v>
      </c>
      <c r="Q43" s="1">
        <f>I43/E43</f>
        <v>1922.9719505642129</v>
      </c>
    </row>
    <row r="44" spans="1:17" x14ac:dyDescent="0.3">
      <c r="A44" s="17">
        <v>45323</v>
      </c>
      <c r="B44" s="18">
        <v>662270</v>
      </c>
      <c r="C44" s="18">
        <v>191520</v>
      </c>
      <c r="D44" s="18">
        <v>71470</v>
      </c>
      <c r="E44" s="19">
        <f t="shared" si="3"/>
        <v>925260</v>
      </c>
      <c r="F44" s="18">
        <v>1105328630</v>
      </c>
      <c r="G44" s="18">
        <v>592371360</v>
      </c>
      <c r="H44" s="18">
        <v>77473480</v>
      </c>
      <c r="I44" s="19">
        <f t="shared" si="4"/>
        <v>1775173470</v>
      </c>
      <c r="J44" s="19">
        <f t="shared" si="5"/>
        <v>1918.5671811166592</v>
      </c>
      <c r="K44" s="2">
        <v>690499</v>
      </c>
      <c r="L44" s="20">
        <f>E44*3.6</f>
        <v>3330936</v>
      </c>
      <c r="M44" s="21">
        <f>E44*0.6766</f>
        <v>626030.91599999997</v>
      </c>
      <c r="N44" s="1">
        <f>E44/K44</f>
        <v>1.3399874583453415</v>
      </c>
      <c r="O44" s="1">
        <f t="shared" si="6"/>
        <v>4.8239548500432292</v>
      </c>
      <c r="P44" s="1">
        <f t="shared" si="7"/>
        <v>0.90663551431645806</v>
      </c>
      <c r="Q44" s="1">
        <f>I44/E44</f>
        <v>1918.5671811166592</v>
      </c>
    </row>
    <row r="46" spans="1:17" ht="15.6" x14ac:dyDescent="0.3">
      <c r="E46" s="46">
        <v>6704899.1500000004</v>
      </c>
      <c r="I46" s="46">
        <f>13943653.29*1000</f>
        <v>13943653290</v>
      </c>
    </row>
    <row r="47" spans="1:17" x14ac:dyDescent="0.3">
      <c r="E47" s="47">
        <f>E46/E41</f>
        <v>0.48460330701739995</v>
      </c>
      <c r="I47" s="47">
        <f>I46/I41</f>
        <v>0.53388286487542991</v>
      </c>
    </row>
  </sheetData>
  <mergeCells count="2">
    <mergeCell ref="B1:E1"/>
    <mergeCell ref="F1:I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zoomScaleNormal="100" workbookViewId="0">
      <selection activeCell="E3" sqref="E3"/>
    </sheetView>
  </sheetViews>
  <sheetFormatPr defaultRowHeight="14.4" x14ac:dyDescent="0.3"/>
  <cols>
    <col min="1" max="1" width="13.77734375" bestFit="1" customWidth="1"/>
    <col min="2" max="2" width="8.109375" style="2" bestFit="1" customWidth="1"/>
    <col min="3" max="3" width="13.77734375" style="2" bestFit="1" customWidth="1"/>
    <col min="4" max="4" width="10.21875" style="2" bestFit="1" customWidth="1"/>
    <col min="5" max="5" width="8.6640625" style="2" bestFit="1" customWidth="1"/>
    <col min="6" max="6" width="12.5546875" style="2" bestFit="1" customWidth="1"/>
    <col min="7" max="9" width="8.77734375" style="2"/>
  </cols>
  <sheetData>
    <row r="1" spans="1:7" ht="28.8" x14ac:dyDescent="0.3">
      <c r="B1" s="25" t="s">
        <v>16</v>
      </c>
      <c r="C1" s="25" t="s">
        <v>17</v>
      </c>
      <c r="D1" s="2" t="s">
        <v>9</v>
      </c>
      <c r="E1" s="2" t="s">
        <v>10</v>
      </c>
      <c r="F1" s="2" t="s">
        <v>7</v>
      </c>
      <c r="G1" s="2" t="s">
        <v>30</v>
      </c>
    </row>
    <row r="2" spans="1:7" ht="14.55" x14ac:dyDescent="0.35">
      <c r="A2" s="8">
        <v>44197</v>
      </c>
      <c r="D2" s="2">
        <f>0.82*47.69*B2</f>
        <v>0</v>
      </c>
      <c r="E2" s="2">
        <f>2.7823*B2</f>
        <v>0</v>
      </c>
      <c r="F2" s="2">
        <v>0</v>
      </c>
    </row>
    <row r="3" spans="1:7" ht="14.55" x14ac:dyDescent="0.35">
      <c r="A3" s="8">
        <v>44228</v>
      </c>
      <c r="B3" s="2">
        <v>2530</v>
      </c>
      <c r="C3" s="2">
        <v>43007371</v>
      </c>
      <c r="D3" s="2">
        <f t="shared" ref="D3:D42" si="0">0.82*47.69*B3</f>
        <v>98937.673999999985</v>
      </c>
      <c r="E3" s="2">
        <f t="shared" ref="E3:E42" si="1">2.7823*B3</f>
        <v>7039.219000000001</v>
      </c>
      <c r="F3" s="2">
        <v>0</v>
      </c>
    </row>
    <row r="4" spans="1:7" ht="14.55" x14ac:dyDescent="0.35">
      <c r="A4" s="8">
        <v>44256</v>
      </c>
      <c r="B4" s="2">
        <v>2230</v>
      </c>
      <c r="C4" s="2">
        <v>32183500</v>
      </c>
      <c r="D4" s="2">
        <f t="shared" si="0"/>
        <v>87205.933999999994</v>
      </c>
      <c r="E4" s="2">
        <f t="shared" si="1"/>
        <v>6204.5290000000005</v>
      </c>
      <c r="F4" s="2">
        <v>0</v>
      </c>
    </row>
    <row r="5" spans="1:7" ht="14.55" x14ac:dyDescent="0.35">
      <c r="A5" s="8">
        <v>44287</v>
      </c>
      <c r="B5" s="2">
        <v>2705</v>
      </c>
      <c r="C5" s="2">
        <v>39140600</v>
      </c>
      <c r="D5" s="2">
        <f t="shared" si="0"/>
        <v>105781.18899999998</v>
      </c>
      <c r="E5" s="2">
        <f t="shared" si="1"/>
        <v>7526.1215000000002</v>
      </c>
      <c r="F5" s="2">
        <v>0</v>
      </c>
    </row>
    <row r="6" spans="1:7" ht="14.55" x14ac:dyDescent="0.35">
      <c r="A6" s="8">
        <v>44317</v>
      </c>
      <c r="B6" s="2">
        <v>1785</v>
      </c>
      <c r="C6" s="2">
        <v>32097100</v>
      </c>
      <c r="D6" s="2">
        <f t="shared" si="0"/>
        <v>69803.852999999988</v>
      </c>
      <c r="E6" s="2">
        <f t="shared" si="1"/>
        <v>4966.4055000000008</v>
      </c>
      <c r="F6" s="2">
        <v>0</v>
      </c>
    </row>
    <row r="7" spans="1:7" ht="14.55" x14ac:dyDescent="0.35">
      <c r="A7" s="8">
        <v>44348</v>
      </c>
      <c r="B7" s="2">
        <v>2351</v>
      </c>
      <c r="C7" s="2">
        <v>44872431</v>
      </c>
      <c r="D7" s="2">
        <f t="shared" si="0"/>
        <v>91937.735799999995</v>
      </c>
      <c r="E7" s="2">
        <f t="shared" si="1"/>
        <v>6541.1873000000005</v>
      </c>
      <c r="F7" s="2">
        <v>0</v>
      </c>
    </row>
    <row r="8" spans="1:7" ht="14.55" x14ac:dyDescent="0.35">
      <c r="A8" s="8">
        <v>44378</v>
      </c>
      <c r="B8" s="2">
        <v>2019</v>
      </c>
      <c r="C8" s="2">
        <v>41975651</v>
      </c>
      <c r="D8" s="2">
        <f t="shared" si="0"/>
        <v>78954.610199999996</v>
      </c>
      <c r="E8" s="2">
        <f t="shared" si="1"/>
        <v>5617.4637000000002</v>
      </c>
      <c r="F8" s="2">
        <v>0</v>
      </c>
    </row>
    <row r="9" spans="1:7" ht="14.55" x14ac:dyDescent="0.35">
      <c r="A9" s="8">
        <v>44409</v>
      </c>
      <c r="B9" s="2">
        <v>1455</v>
      </c>
      <c r="C9" s="2">
        <v>27838500</v>
      </c>
      <c r="D9" s="2">
        <f t="shared" si="0"/>
        <v>56898.938999999991</v>
      </c>
      <c r="E9" s="2">
        <f t="shared" si="1"/>
        <v>4048.2465000000002</v>
      </c>
      <c r="F9" s="2">
        <v>0</v>
      </c>
    </row>
    <row r="10" spans="1:7" ht="14.55" x14ac:dyDescent="0.35">
      <c r="A10" s="8">
        <v>44440</v>
      </c>
      <c r="B10" s="2">
        <v>1065</v>
      </c>
      <c r="C10" s="2">
        <v>23115450</v>
      </c>
      <c r="D10" s="2">
        <f t="shared" si="0"/>
        <v>41647.676999999996</v>
      </c>
      <c r="E10" s="2">
        <f t="shared" si="1"/>
        <v>2963.1495000000004</v>
      </c>
      <c r="F10" s="2">
        <v>0</v>
      </c>
    </row>
    <row r="11" spans="1:7" ht="14.55" x14ac:dyDescent="0.35">
      <c r="A11" s="8">
        <v>44470</v>
      </c>
      <c r="B11" s="2">
        <v>755</v>
      </c>
      <c r="C11" s="2">
        <v>28177334</v>
      </c>
      <c r="D11" s="2">
        <f t="shared" si="0"/>
        <v>29524.878999999997</v>
      </c>
      <c r="E11" s="2">
        <f t="shared" si="1"/>
        <v>2100.6365000000001</v>
      </c>
      <c r="F11" s="2">
        <v>0</v>
      </c>
    </row>
    <row r="12" spans="1:7" ht="14.55" x14ac:dyDescent="0.35">
      <c r="A12" s="8">
        <v>44501</v>
      </c>
      <c r="B12" s="2">
        <v>1500</v>
      </c>
      <c r="C12" s="2">
        <v>37692000</v>
      </c>
      <c r="D12" s="2">
        <f t="shared" si="0"/>
        <v>58658.69999999999</v>
      </c>
      <c r="E12" s="2">
        <f t="shared" si="1"/>
        <v>4173.4500000000007</v>
      </c>
      <c r="F12" s="2">
        <v>23289</v>
      </c>
    </row>
    <row r="13" spans="1:7" ht="14.55" x14ac:dyDescent="0.35">
      <c r="A13" s="8">
        <v>44531</v>
      </c>
      <c r="B13" s="2">
        <v>1425</v>
      </c>
      <c r="C13" s="2">
        <v>30959319</v>
      </c>
      <c r="D13" s="2">
        <f t="shared" si="0"/>
        <v>55725.764999999992</v>
      </c>
      <c r="E13" s="2">
        <f t="shared" si="1"/>
        <v>3964.7775000000001</v>
      </c>
      <c r="F13" s="2">
        <v>27099</v>
      </c>
    </row>
    <row r="14" spans="1:7" x14ac:dyDescent="0.3">
      <c r="A14" s="22" t="s">
        <v>15</v>
      </c>
      <c r="B14" s="6">
        <f>SUBTOTAL(9,B2:B13)</f>
        <v>19820</v>
      </c>
      <c r="C14" s="6">
        <f t="shared" ref="C14:E14" si="2">SUBTOTAL(9,C2:C13)</f>
        <v>381059256</v>
      </c>
      <c r="D14" s="6">
        <f t="shared" si="2"/>
        <v>775076.95599999989</v>
      </c>
      <c r="E14" s="6">
        <f t="shared" si="2"/>
        <v>55145.186000000002</v>
      </c>
      <c r="F14" s="10">
        <f t="shared" ref="F14" si="3">SUBTOTAL(9,F2:F13)</f>
        <v>50388</v>
      </c>
    </row>
    <row r="15" spans="1:7" ht="14.55" x14ac:dyDescent="0.35">
      <c r="A15" s="11">
        <v>44562</v>
      </c>
      <c r="B15" s="2">
        <v>1555</v>
      </c>
      <c r="C15" s="2">
        <v>37401850</v>
      </c>
      <c r="D15" s="2">
        <f t="shared" si="0"/>
        <v>60809.518999999993</v>
      </c>
      <c r="E15" s="2">
        <f t="shared" si="1"/>
        <v>4326.4765000000007</v>
      </c>
      <c r="F15" s="2">
        <v>88188</v>
      </c>
    </row>
    <row r="16" spans="1:7" ht="14.55" x14ac:dyDescent="0.35">
      <c r="A16" s="11">
        <v>44593</v>
      </c>
      <c r="B16" s="2">
        <v>1475</v>
      </c>
      <c r="C16" s="2">
        <v>37736600</v>
      </c>
      <c r="D16" s="2">
        <f t="shared" si="0"/>
        <v>57681.054999999993</v>
      </c>
      <c r="E16" s="2">
        <f t="shared" si="1"/>
        <v>4103.8924999999999</v>
      </c>
      <c r="F16" s="2">
        <v>93437</v>
      </c>
    </row>
    <row r="17" spans="1:6" ht="14.55" x14ac:dyDescent="0.35">
      <c r="A17" s="11">
        <v>44621</v>
      </c>
      <c r="B17" s="2">
        <v>1681</v>
      </c>
      <c r="C17" s="2">
        <v>48466380</v>
      </c>
      <c r="D17" s="2">
        <f t="shared" si="0"/>
        <v>65736.849799999996</v>
      </c>
      <c r="E17" s="2">
        <f t="shared" si="1"/>
        <v>4677.0463</v>
      </c>
      <c r="F17" s="2">
        <v>187118</v>
      </c>
    </row>
    <row r="18" spans="1:6" ht="14.55" x14ac:dyDescent="0.35">
      <c r="A18" s="11">
        <v>44652</v>
      </c>
      <c r="B18" s="2">
        <v>3107</v>
      </c>
      <c r="C18" s="2">
        <v>87871630</v>
      </c>
      <c r="D18" s="2">
        <f t="shared" si="0"/>
        <v>121501.72059999999</v>
      </c>
      <c r="E18" s="2">
        <f t="shared" si="1"/>
        <v>8644.6061000000009</v>
      </c>
      <c r="F18" s="2">
        <v>308466</v>
      </c>
    </row>
    <row r="19" spans="1:6" ht="14.55" x14ac:dyDescent="0.35">
      <c r="A19" s="11">
        <v>44682</v>
      </c>
      <c r="B19" s="2">
        <v>4289</v>
      </c>
      <c r="C19" s="2">
        <v>128035910</v>
      </c>
      <c r="D19" s="2">
        <f t="shared" si="0"/>
        <v>167724.77619999999</v>
      </c>
      <c r="E19" s="2">
        <f t="shared" si="1"/>
        <v>11933.2847</v>
      </c>
      <c r="F19" s="2">
        <v>351801</v>
      </c>
    </row>
    <row r="20" spans="1:6" ht="14.55" x14ac:dyDescent="0.35">
      <c r="A20" s="11">
        <v>44713</v>
      </c>
      <c r="B20" s="2">
        <v>5377</v>
      </c>
      <c r="C20" s="2">
        <v>174510950</v>
      </c>
      <c r="D20" s="2">
        <f t="shared" si="0"/>
        <v>210271.88659999997</v>
      </c>
      <c r="E20" s="2">
        <f t="shared" si="1"/>
        <v>14960.427100000001</v>
      </c>
      <c r="F20" s="2">
        <v>453767</v>
      </c>
    </row>
    <row r="21" spans="1:6" ht="14.55" x14ac:dyDescent="0.35">
      <c r="A21" s="11">
        <v>44743</v>
      </c>
      <c r="B21" s="2">
        <v>4690</v>
      </c>
      <c r="C21" s="2">
        <v>145391240</v>
      </c>
      <c r="D21" s="2">
        <f t="shared" si="0"/>
        <v>183406.20199999999</v>
      </c>
      <c r="E21" s="2">
        <f t="shared" si="1"/>
        <v>13048.987000000001</v>
      </c>
      <c r="F21" s="2">
        <v>550573</v>
      </c>
    </row>
    <row r="22" spans="1:6" ht="14.55" x14ac:dyDescent="0.35">
      <c r="A22" s="11">
        <v>44774</v>
      </c>
      <c r="B22" s="2">
        <v>6315</v>
      </c>
      <c r="C22" s="2">
        <v>162969930</v>
      </c>
      <c r="D22" s="2">
        <f t="shared" si="0"/>
        <v>246953.12699999998</v>
      </c>
      <c r="E22" s="2">
        <f t="shared" si="1"/>
        <v>17570.2245</v>
      </c>
      <c r="F22" s="2">
        <v>700152</v>
      </c>
    </row>
    <row r="23" spans="1:6" ht="14.55" x14ac:dyDescent="0.35">
      <c r="A23" s="11">
        <v>44805</v>
      </c>
      <c r="B23" s="2">
        <v>5294</v>
      </c>
      <c r="C23" s="2">
        <v>128071900</v>
      </c>
      <c r="D23" s="2">
        <f t="shared" si="0"/>
        <v>207026.10519999996</v>
      </c>
      <c r="E23" s="2">
        <f t="shared" si="1"/>
        <v>14729.496200000001</v>
      </c>
      <c r="F23" s="2">
        <v>567211</v>
      </c>
    </row>
    <row r="24" spans="1:6" ht="14.55" x14ac:dyDescent="0.35">
      <c r="A24" s="11">
        <v>44835</v>
      </c>
      <c r="B24" s="2">
        <v>4423</v>
      </c>
      <c r="C24" s="2">
        <v>99890860</v>
      </c>
      <c r="D24" s="2">
        <f t="shared" si="0"/>
        <v>172964.95339999997</v>
      </c>
      <c r="E24" s="2">
        <f t="shared" si="1"/>
        <v>12306.1129</v>
      </c>
      <c r="F24" s="2">
        <v>701525</v>
      </c>
    </row>
    <row r="25" spans="1:6" ht="14.55" x14ac:dyDescent="0.35">
      <c r="A25" s="11">
        <v>44866</v>
      </c>
      <c r="B25" s="2">
        <v>3680</v>
      </c>
      <c r="C25" s="2">
        <v>85628820</v>
      </c>
      <c r="D25" s="2">
        <f t="shared" si="0"/>
        <v>143909.34399999998</v>
      </c>
      <c r="E25" s="2">
        <f t="shared" si="1"/>
        <v>10238.864000000001</v>
      </c>
      <c r="F25" s="2">
        <v>660274</v>
      </c>
    </row>
    <row r="26" spans="1:6" ht="14.55" x14ac:dyDescent="0.35">
      <c r="A26" s="11">
        <v>44896</v>
      </c>
      <c r="B26" s="2">
        <v>5989</v>
      </c>
      <c r="C26" s="2">
        <v>137278860</v>
      </c>
      <c r="D26" s="2">
        <f t="shared" si="0"/>
        <v>234204.63619999998</v>
      </c>
      <c r="E26" s="2">
        <f t="shared" si="1"/>
        <v>16663.1947</v>
      </c>
      <c r="F26" s="2">
        <v>657397</v>
      </c>
    </row>
    <row r="27" spans="1:6" x14ac:dyDescent="0.3">
      <c r="A27" s="23" t="s">
        <v>15</v>
      </c>
      <c r="B27" s="6">
        <f>SUBTOTAL(9,B15:B26)</f>
        <v>47875</v>
      </c>
      <c r="C27" s="6">
        <f t="shared" ref="C27" si="4">SUBTOTAL(9,C15:C26)</f>
        <v>1273254930</v>
      </c>
      <c r="D27" s="6">
        <f t="shared" ref="D27" si="5">SUBTOTAL(9,D15:D26)</f>
        <v>1872190.175</v>
      </c>
      <c r="E27" s="6">
        <f t="shared" ref="E27" si="6">SUBTOTAL(9,E15:E26)</f>
        <v>133202.61250000002</v>
      </c>
      <c r="F27" s="13">
        <f t="shared" ref="F27" si="7">SUBTOTAL(9,F15:F26)</f>
        <v>5319909</v>
      </c>
    </row>
    <row r="28" spans="1:6" ht="14.55" x14ac:dyDescent="0.35">
      <c r="A28" s="14">
        <v>44927</v>
      </c>
      <c r="B28" s="2">
        <v>3005</v>
      </c>
      <c r="C28" s="2">
        <v>66743350</v>
      </c>
      <c r="D28" s="2">
        <f t="shared" si="0"/>
        <v>117512.92899999999</v>
      </c>
      <c r="E28" s="2">
        <f t="shared" si="1"/>
        <v>8360.8114999999998</v>
      </c>
      <c r="F28" s="2">
        <v>442109</v>
      </c>
    </row>
    <row r="29" spans="1:6" ht="14.55" x14ac:dyDescent="0.35">
      <c r="A29" s="14">
        <v>44958</v>
      </c>
      <c r="B29" s="2">
        <v>5524</v>
      </c>
      <c r="C29" s="2">
        <v>129692860</v>
      </c>
      <c r="D29" s="2">
        <f t="shared" si="0"/>
        <v>216020.43919999996</v>
      </c>
      <c r="E29" s="2">
        <f t="shared" si="1"/>
        <v>15369.425200000001</v>
      </c>
      <c r="F29" s="2">
        <v>621191</v>
      </c>
    </row>
    <row r="30" spans="1:6" ht="14.55" x14ac:dyDescent="0.35">
      <c r="A30" s="14">
        <v>44986</v>
      </c>
      <c r="B30" s="2">
        <v>5482</v>
      </c>
      <c r="C30" s="2">
        <v>131043790</v>
      </c>
      <c r="D30" s="2">
        <f t="shared" si="0"/>
        <v>214377.99559999997</v>
      </c>
      <c r="E30" s="2">
        <f t="shared" si="1"/>
        <v>15252.568600000001</v>
      </c>
      <c r="F30" s="2">
        <v>780207</v>
      </c>
    </row>
    <row r="31" spans="1:6" ht="14.55" x14ac:dyDescent="0.35">
      <c r="A31" s="14">
        <v>45017</v>
      </c>
      <c r="B31" s="2">
        <v>5271</v>
      </c>
      <c r="C31" s="2">
        <v>126110900</v>
      </c>
      <c r="D31" s="2">
        <f t="shared" si="0"/>
        <v>206126.67179999998</v>
      </c>
      <c r="E31" s="2">
        <f t="shared" si="1"/>
        <v>14665.5033</v>
      </c>
      <c r="F31" s="2">
        <v>800208</v>
      </c>
    </row>
    <row r="32" spans="1:6" ht="14.55" x14ac:dyDescent="0.35">
      <c r="A32" s="14">
        <v>45047</v>
      </c>
      <c r="B32" s="2">
        <v>5241</v>
      </c>
      <c r="C32" s="2">
        <v>119558890</v>
      </c>
      <c r="D32" s="2">
        <f t="shared" si="0"/>
        <v>204953.49779999998</v>
      </c>
      <c r="E32" s="2">
        <f t="shared" si="1"/>
        <v>14582.034300000001</v>
      </c>
      <c r="F32" s="2">
        <v>860646</v>
      </c>
    </row>
    <row r="33" spans="1:6" ht="14.55" x14ac:dyDescent="0.35">
      <c r="A33" s="14">
        <v>45078</v>
      </c>
      <c r="B33" s="2">
        <v>5428</v>
      </c>
      <c r="C33" s="2">
        <v>120989200</v>
      </c>
      <c r="D33" s="2">
        <f t="shared" si="0"/>
        <v>212266.28239999997</v>
      </c>
      <c r="E33" s="2">
        <f t="shared" si="1"/>
        <v>15102.324400000001</v>
      </c>
      <c r="F33" s="2">
        <v>800166</v>
      </c>
    </row>
    <row r="34" spans="1:6" ht="14.55" x14ac:dyDescent="0.35">
      <c r="A34" s="14">
        <v>45108</v>
      </c>
      <c r="B34" s="2">
        <v>4504.6899999999996</v>
      </c>
      <c r="C34" s="2">
        <v>99673480</v>
      </c>
      <c r="D34" s="2">
        <f t="shared" si="0"/>
        <v>176159.50620199996</v>
      </c>
      <c r="E34" s="2">
        <f t="shared" si="1"/>
        <v>12533.398987</v>
      </c>
      <c r="F34" s="2">
        <v>766156</v>
      </c>
    </row>
    <row r="35" spans="1:6" ht="14.55" x14ac:dyDescent="0.35">
      <c r="A35" s="14">
        <v>45139</v>
      </c>
      <c r="B35" s="2">
        <v>5599</v>
      </c>
      <c r="C35" s="2">
        <v>134956180</v>
      </c>
      <c r="D35" s="2">
        <f t="shared" si="0"/>
        <v>218953.37419999996</v>
      </c>
      <c r="E35" s="2">
        <f t="shared" si="1"/>
        <v>15578.097700000002</v>
      </c>
      <c r="F35" s="2">
        <v>840154</v>
      </c>
    </row>
    <row r="36" spans="1:6" ht="14.55" x14ac:dyDescent="0.35">
      <c r="A36" s="14">
        <v>45170</v>
      </c>
      <c r="B36" s="2">
        <v>6311</v>
      </c>
      <c r="C36" s="2">
        <v>159837320</v>
      </c>
      <c r="D36" s="2">
        <f t="shared" si="0"/>
        <v>246796.70379999996</v>
      </c>
      <c r="E36" s="2">
        <f t="shared" si="1"/>
        <v>17559.095300000001</v>
      </c>
      <c r="F36" s="2">
        <v>740042</v>
      </c>
    </row>
    <row r="37" spans="1:6" ht="14.55" x14ac:dyDescent="0.35">
      <c r="A37" s="14">
        <v>45200</v>
      </c>
      <c r="B37" s="2">
        <v>5250</v>
      </c>
      <c r="C37" s="2">
        <v>131214940</v>
      </c>
      <c r="D37" s="2">
        <f t="shared" si="0"/>
        <v>205305.44999999998</v>
      </c>
      <c r="E37" s="2">
        <f t="shared" si="1"/>
        <v>14607.075000000001</v>
      </c>
      <c r="F37" s="2">
        <v>860065</v>
      </c>
    </row>
    <row r="38" spans="1:6" ht="14.55" x14ac:dyDescent="0.35">
      <c r="A38" s="14">
        <v>45231</v>
      </c>
      <c r="B38" s="2">
        <v>5784</v>
      </c>
      <c r="C38" s="2">
        <v>139811800</v>
      </c>
      <c r="D38" s="2">
        <f t="shared" si="0"/>
        <v>226187.94719999997</v>
      </c>
      <c r="E38" s="2">
        <f t="shared" si="1"/>
        <v>16092.823200000001</v>
      </c>
      <c r="F38" s="2">
        <v>901232</v>
      </c>
    </row>
    <row r="39" spans="1:6" ht="14.55" x14ac:dyDescent="0.35">
      <c r="A39" s="14">
        <v>45261</v>
      </c>
      <c r="B39" s="2">
        <v>5686</v>
      </c>
      <c r="C39" s="2">
        <v>130606320</v>
      </c>
      <c r="D39" s="2">
        <f t="shared" si="0"/>
        <v>222355.57879999996</v>
      </c>
      <c r="E39" s="2">
        <f t="shared" si="1"/>
        <v>15820.157800000001</v>
      </c>
      <c r="F39" s="2">
        <v>1020188</v>
      </c>
    </row>
    <row r="40" spans="1:6" x14ac:dyDescent="0.3">
      <c r="A40" s="24" t="s">
        <v>15</v>
      </c>
      <c r="B40" s="6">
        <f>SUBTOTAL(9,B28:B39)</f>
        <v>63085.69</v>
      </c>
      <c r="C40" s="6">
        <f t="shared" ref="C40" si="8">SUBTOTAL(9,C28:C39)</f>
        <v>1490239030</v>
      </c>
      <c r="D40" s="6">
        <f t="shared" ref="D40" si="9">SUBTOTAL(9,D28:D39)</f>
        <v>2467016.3760019997</v>
      </c>
      <c r="E40" s="6">
        <f t="shared" ref="E40" si="10">SUBTOTAL(9,E28:E39)</f>
        <v>175523.31528700003</v>
      </c>
      <c r="F40" s="16">
        <f t="shared" ref="F40" si="11">SUBTOTAL(9,F28:F39)</f>
        <v>9432364</v>
      </c>
    </row>
    <row r="41" spans="1:6" ht="14.55" x14ac:dyDescent="0.35">
      <c r="A41" s="17">
        <v>45292</v>
      </c>
      <c r="B41" s="2">
        <v>4272</v>
      </c>
      <c r="C41" s="2">
        <v>103019200</v>
      </c>
      <c r="D41" s="2">
        <f t="shared" si="0"/>
        <v>167059.97759999998</v>
      </c>
      <c r="E41" s="2">
        <f t="shared" si="1"/>
        <v>11885.985600000002</v>
      </c>
      <c r="F41" s="2">
        <v>1151428</v>
      </c>
    </row>
    <row r="42" spans="1:6" ht="14.55" x14ac:dyDescent="0.35">
      <c r="A42" s="17">
        <v>45323</v>
      </c>
      <c r="B42" s="2">
        <v>4428</v>
      </c>
      <c r="C42" s="2">
        <v>106724800</v>
      </c>
      <c r="D42" s="2">
        <f t="shared" si="0"/>
        <v>173160.48239999998</v>
      </c>
      <c r="E42" s="2">
        <f t="shared" si="1"/>
        <v>12320.0244</v>
      </c>
      <c r="F42" s="2">
        <v>690499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selection activeCell="K3" sqref="K3"/>
    </sheetView>
  </sheetViews>
  <sheetFormatPr defaultRowHeight="14.4" x14ac:dyDescent="0.3"/>
  <cols>
    <col min="1" max="1" width="13.77734375" bestFit="1" customWidth="1"/>
    <col min="2" max="2" width="10.21875" bestFit="1" customWidth="1"/>
    <col min="3" max="3" width="9.21875" bestFit="1" customWidth="1"/>
    <col min="4" max="5" width="10.21875" bestFit="1" customWidth="1"/>
    <col min="6" max="6" width="13.77734375" style="3" bestFit="1" customWidth="1"/>
    <col min="7" max="7" width="12.21875" style="3" bestFit="1" customWidth="1"/>
    <col min="8" max="8" width="12" style="3" bestFit="1" customWidth="1"/>
    <col min="9" max="9" width="13.77734375" style="3" bestFit="1" customWidth="1"/>
    <col min="10" max="10" width="12.5546875" bestFit="1" customWidth="1"/>
    <col min="11" max="11" width="11.109375" bestFit="1" customWidth="1"/>
  </cols>
  <sheetData>
    <row r="1" spans="1:11" x14ac:dyDescent="0.3">
      <c r="B1" s="65" t="s">
        <v>22</v>
      </c>
      <c r="C1" s="65"/>
      <c r="D1" s="65"/>
      <c r="E1" s="65"/>
      <c r="F1" s="66" t="s">
        <v>21</v>
      </c>
      <c r="G1" s="66"/>
      <c r="H1" s="66"/>
      <c r="I1" s="66"/>
      <c r="J1" t="s">
        <v>9</v>
      </c>
      <c r="K1" t="s">
        <v>10</v>
      </c>
    </row>
    <row r="2" spans="1:11" x14ac:dyDescent="0.3">
      <c r="B2" t="s">
        <v>18</v>
      </c>
      <c r="C2" t="s">
        <v>19</v>
      </c>
      <c r="D2" t="s">
        <v>20</v>
      </c>
      <c r="E2" t="s">
        <v>5</v>
      </c>
      <c r="F2" s="3" t="s">
        <v>18</v>
      </c>
      <c r="G2" s="3" t="s">
        <v>19</v>
      </c>
      <c r="H2" s="3" t="s">
        <v>20</v>
      </c>
      <c r="I2" s="3" t="s">
        <v>5</v>
      </c>
    </row>
    <row r="3" spans="1:11" ht="14.55" x14ac:dyDescent="0.35">
      <c r="A3" s="8">
        <v>44197</v>
      </c>
      <c r="B3" s="2">
        <v>338</v>
      </c>
      <c r="E3" s="3">
        <f>SUM(B3:D3)</f>
        <v>338</v>
      </c>
      <c r="F3" s="3">
        <v>5742000</v>
      </c>
      <c r="I3" s="3">
        <f>SUM(F3:H3)</f>
        <v>5742000</v>
      </c>
      <c r="J3" s="21">
        <f>0.86*42.42*E3</f>
        <v>12330.6456</v>
      </c>
      <c r="K3" s="21">
        <f>2.5423*E3</f>
        <v>859.29740000000004</v>
      </c>
    </row>
    <row r="4" spans="1:11" ht="14.55" x14ac:dyDescent="0.35">
      <c r="A4" s="8">
        <v>44228</v>
      </c>
      <c r="B4" s="2">
        <v>2193</v>
      </c>
      <c r="E4" s="3">
        <f t="shared" ref="E4:E43" si="0">SUM(B4:D4)</f>
        <v>2193</v>
      </c>
      <c r="F4" s="3">
        <v>37227769</v>
      </c>
      <c r="I4" s="3">
        <f t="shared" ref="I4:I43" si="1">SUM(F4:H4)</f>
        <v>37227769</v>
      </c>
      <c r="J4" s="21">
        <f t="shared" ref="J4:J43" si="2">0.86*42.42*E4</f>
        <v>80003.271600000007</v>
      </c>
      <c r="K4" s="21">
        <f t="shared" ref="K4:K43" si="3">2.5423*E4</f>
        <v>5575.2638999999999</v>
      </c>
    </row>
    <row r="5" spans="1:11" ht="14.55" x14ac:dyDescent="0.35">
      <c r="A5" s="8">
        <v>44256</v>
      </c>
      <c r="B5" s="2">
        <v>1276</v>
      </c>
      <c r="E5" s="3">
        <f t="shared" si="0"/>
        <v>1276</v>
      </c>
      <c r="F5" s="3">
        <v>24289815</v>
      </c>
      <c r="I5" s="3">
        <f t="shared" si="1"/>
        <v>24289815</v>
      </c>
      <c r="J5" s="21">
        <f t="shared" si="2"/>
        <v>46550.011200000001</v>
      </c>
      <c r="K5" s="21">
        <f t="shared" si="3"/>
        <v>3243.9748</v>
      </c>
    </row>
    <row r="6" spans="1:11" ht="14.55" x14ac:dyDescent="0.35">
      <c r="A6" s="8">
        <v>44287</v>
      </c>
      <c r="B6" s="2">
        <v>1592</v>
      </c>
      <c r="C6">
        <v>148</v>
      </c>
      <c r="D6">
        <v>852</v>
      </c>
      <c r="E6" s="3">
        <f t="shared" si="0"/>
        <v>2592</v>
      </c>
      <c r="F6" s="3">
        <v>30823450</v>
      </c>
      <c r="G6" s="3">
        <v>1953600</v>
      </c>
      <c r="H6" s="3">
        <v>11246400</v>
      </c>
      <c r="I6" s="3">
        <f t="shared" si="1"/>
        <v>44023450</v>
      </c>
      <c r="J6" s="21">
        <f t="shared" si="2"/>
        <v>94559.270400000009</v>
      </c>
      <c r="K6" s="21">
        <f t="shared" si="3"/>
        <v>6589.6415999999999</v>
      </c>
    </row>
    <row r="7" spans="1:11" ht="14.55" x14ac:dyDescent="0.35">
      <c r="A7" s="8">
        <v>44317</v>
      </c>
      <c r="B7" s="2">
        <v>2510</v>
      </c>
      <c r="C7">
        <v>144</v>
      </c>
      <c r="D7">
        <v>913</v>
      </c>
      <c r="E7" s="3">
        <f t="shared" si="0"/>
        <v>3567</v>
      </c>
      <c r="F7" s="3">
        <v>37188800</v>
      </c>
      <c r="G7" s="3">
        <v>1900800</v>
      </c>
      <c r="H7" s="3">
        <v>12051600</v>
      </c>
      <c r="I7" s="3">
        <f t="shared" si="1"/>
        <v>51141200</v>
      </c>
      <c r="J7" s="21">
        <f t="shared" si="2"/>
        <v>130128.44040000001</v>
      </c>
      <c r="K7" s="21">
        <f t="shared" si="3"/>
        <v>9068.3840999999993</v>
      </c>
    </row>
    <row r="8" spans="1:11" ht="14.55" x14ac:dyDescent="0.35">
      <c r="A8" s="8">
        <v>44348</v>
      </c>
      <c r="B8" s="2">
        <v>2210</v>
      </c>
      <c r="C8">
        <v>211</v>
      </c>
      <c r="D8">
        <v>941</v>
      </c>
      <c r="E8" s="3">
        <f t="shared" si="0"/>
        <v>3362</v>
      </c>
      <c r="F8" s="3">
        <v>33887800</v>
      </c>
      <c r="G8" s="3">
        <v>3019410</v>
      </c>
      <c r="H8" s="3">
        <v>14465710</v>
      </c>
      <c r="I8" s="3">
        <f t="shared" si="1"/>
        <v>51372920</v>
      </c>
      <c r="J8" s="21">
        <f t="shared" si="2"/>
        <v>122649.7944</v>
      </c>
      <c r="K8" s="21">
        <f t="shared" si="3"/>
        <v>8547.2126000000007</v>
      </c>
    </row>
    <row r="9" spans="1:11" ht="14.55" x14ac:dyDescent="0.35">
      <c r="A9" s="8">
        <v>44378</v>
      </c>
      <c r="B9" s="2">
        <v>2920</v>
      </c>
      <c r="C9">
        <v>233</v>
      </c>
      <c r="D9">
        <v>1160</v>
      </c>
      <c r="E9" s="3">
        <f t="shared" si="0"/>
        <v>4313</v>
      </c>
      <c r="F9" s="3">
        <v>48646400</v>
      </c>
      <c r="G9" s="3">
        <v>3480088</v>
      </c>
      <c r="H9" s="3">
        <v>17325760</v>
      </c>
      <c r="I9" s="3">
        <f t="shared" si="1"/>
        <v>69452248</v>
      </c>
      <c r="J9" s="21">
        <f t="shared" si="2"/>
        <v>157343.41560000001</v>
      </c>
      <c r="K9" s="21">
        <f t="shared" si="3"/>
        <v>10964.939899999999</v>
      </c>
    </row>
    <row r="10" spans="1:11" ht="14.55" x14ac:dyDescent="0.35">
      <c r="A10" s="8">
        <v>44409</v>
      </c>
      <c r="B10" s="2">
        <v>2980</v>
      </c>
      <c r="C10">
        <v>221</v>
      </c>
      <c r="D10">
        <v>1539</v>
      </c>
      <c r="E10" s="3">
        <f t="shared" si="0"/>
        <v>4740</v>
      </c>
      <c r="F10" s="3">
        <v>50705045</v>
      </c>
      <c r="G10" s="3">
        <v>3353233</v>
      </c>
      <c r="H10" s="3">
        <v>23351247</v>
      </c>
      <c r="I10" s="3">
        <f t="shared" si="1"/>
        <v>77409525</v>
      </c>
      <c r="J10" s="21">
        <f t="shared" si="2"/>
        <v>172920.88800000001</v>
      </c>
      <c r="K10" s="21">
        <f t="shared" si="3"/>
        <v>12050.502</v>
      </c>
    </row>
    <row r="11" spans="1:11" ht="14.55" x14ac:dyDescent="0.35">
      <c r="A11" s="8">
        <v>44440</v>
      </c>
      <c r="B11" s="2">
        <v>800</v>
      </c>
      <c r="C11">
        <v>236</v>
      </c>
      <c r="D11">
        <v>1688</v>
      </c>
      <c r="E11" s="3">
        <f t="shared" si="0"/>
        <v>2724</v>
      </c>
      <c r="F11" s="3">
        <v>12916600</v>
      </c>
      <c r="G11" s="3">
        <v>3856240</v>
      </c>
      <c r="H11" s="3">
        <v>27581920</v>
      </c>
      <c r="I11" s="3">
        <f t="shared" si="1"/>
        <v>44354760</v>
      </c>
      <c r="J11" s="21">
        <f t="shared" si="2"/>
        <v>99374.788800000009</v>
      </c>
      <c r="K11" s="21">
        <f t="shared" si="3"/>
        <v>6925.2251999999999</v>
      </c>
    </row>
    <row r="12" spans="1:11" ht="14.55" x14ac:dyDescent="0.35">
      <c r="A12" s="8">
        <v>44470</v>
      </c>
      <c r="B12" s="2">
        <v>2480</v>
      </c>
      <c r="C12">
        <v>151</v>
      </c>
      <c r="D12">
        <v>834</v>
      </c>
      <c r="E12" s="3">
        <f t="shared" si="0"/>
        <v>3465</v>
      </c>
      <c r="F12" s="3">
        <v>43740000</v>
      </c>
      <c r="G12" s="3">
        <v>2321282</v>
      </c>
      <c r="H12" s="3">
        <v>12820854</v>
      </c>
      <c r="I12" s="3">
        <f t="shared" si="1"/>
        <v>58882136</v>
      </c>
      <c r="J12" s="21">
        <f t="shared" si="2"/>
        <v>126407.35800000001</v>
      </c>
      <c r="K12" s="21">
        <f t="shared" si="3"/>
        <v>8809.0694999999996</v>
      </c>
    </row>
    <row r="13" spans="1:11" ht="14.55" x14ac:dyDescent="0.35">
      <c r="A13" s="8">
        <v>44501</v>
      </c>
      <c r="B13" s="2">
        <v>1855</v>
      </c>
      <c r="C13">
        <v>320</v>
      </c>
      <c r="D13">
        <v>5335</v>
      </c>
      <c r="E13" s="3">
        <f t="shared" si="0"/>
        <v>7510</v>
      </c>
      <c r="F13" s="3">
        <v>35393400</v>
      </c>
      <c r="G13" s="3">
        <v>5550545.4545454504</v>
      </c>
      <c r="H13" s="3">
        <v>92538000</v>
      </c>
      <c r="I13" s="3">
        <f t="shared" si="1"/>
        <v>133481945.45454545</v>
      </c>
      <c r="J13" s="21">
        <f t="shared" si="2"/>
        <v>273973.81200000003</v>
      </c>
      <c r="K13" s="21">
        <f t="shared" si="3"/>
        <v>19092.672999999999</v>
      </c>
    </row>
    <row r="14" spans="1:11" ht="14.55" x14ac:dyDescent="0.35">
      <c r="A14" s="8">
        <v>44531</v>
      </c>
      <c r="B14" s="2">
        <v>3025</v>
      </c>
      <c r="C14">
        <v>342</v>
      </c>
      <c r="D14">
        <v>6437</v>
      </c>
      <c r="E14" s="3">
        <f t="shared" si="0"/>
        <v>9804</v>
      </c>
      <c r="F14" s="3">
        <v>50066181</v>
      </c>
      <c r="G14" s="3">
        <v>5826312</v>
      </c>
      <c r="H14" s="3">
        <v>109660732</v>
      </c>
      <c r="I14" s="3">
        <f t="shared" si="1"/>
        <v>165553225</v>
      </c>
      <c r="J14" s="21">
        <f t="shared" si="2"/>
        <v>357661.68479999999</v>
      </c>
      <c r="K14" s="21">
        <f t="shared" si="3"/>
        <v>24924.709200000001</v>
      </c>
    </row>
    <row r="15" spans="1:11" x14ac:dyDescent="0.3">
      <c r="A15" s="22" t="s">
        <v>15</v>
      </c>
      <c r="B15" s="6">
        <f>SUBTOTAL(9,B3:B14)</f>
        <v>24179</v>
      </c>
      <c r="C15" s="6">
        <f t="shared" ref="C15:E15" si="4">SUBTOTAL(9,C3:C14)</f>
        <v>2006</v>
      </c>
      <c r="D15" s="6">
        <f t="shared" si="4"/>
        <v>19699</v>
      </c>
      <c r="E15" s="6">
        <f t="shared" si="4"/>
        <v>45884</v>
      </c>
      <c r="F15" s="6">
        <f>SUBTOTAL(9,F3:F14)</f>
        <v>410627260</v>
      </c>
      <c r="G15" s="6">
        <f t="shared" ref="G15" si="5">SUBTOTAL(9,G3:G14)</f>
        <v>31261510.454545449</v>
      </c>
      <c r="H15" s="6">
        <f t="shared" ref="H15" si="6">SUBTOTAL(9,H3:H14)</f>
        <v>321042223</v>
      </c>
      <c r="I15" s="6">
        <f t="shared" ref="I15" si="7">SUBTOTAL(9,I3:I14)</f>
        <v>762930993.4545455</v>
      </c>
      <c r="J15" s="6">
        <f t="shared" ref="J15" si="8">SUBTOTAL(9,J3:J14)</f>
        <v>1673903.3807999999</v>
      </c>
      <c r="K15" s="6">
        <f t="shared" ref="K15" si="9">SUBTOTAL(9,K3:K14)</f>
        <v>116650.89319999999</v>
      </c>
    </row>
    <row r="16" spans="1:11" ht="14.55" x14ac:dyDescent="0.35">
      <c r="A16" s="11">
        <v>44562</v>
      </c>
      <c r="B16" s="2">
        <v>3511</v>
      </c>
      <c r="C16" s="2">
        <v>366</v>
      </c>
      <c r="D16" s="2">
        <v>1150</v>
      </c>
      <c r="E16" s="2">
        <f t="shared" si="0"/>
        <v>5027</v>
      </c>
      <c r="F16" s="3">
        <v>65042140</v>
      </c>
      <c r="G16" s="3">
        <v>6235542</v>
      </c>
      <c r="H16" s="3">
        <v>19592550</v>
      </c>
      <c r="I16" s="3">
        <f t="shared" si="1"/>
        <v>90870232</v>
      </c>
      <c r="J16" s="21">
        <f t="shared" si="2"/>
        <v>183390.99240000002</v>
      </c>
      <c r="K16" s="21">
        <f t="shared" si="3"/>
        <v>12780.142099999999</v>
      </c>
    </row>
    <row r="17" spans="1:11" ht="14.55" x14ac:dyDescent="0.35">
      <c r="A17" s="11">
        <v>44593</v>
      </c>
      <c r="B17" s="2">
        <v>1891</v>
      </c>
      <c r="C17" s="2">
        <v>289</v>
      </c>
      <c r="D17" s="2">
        <v>756</v>
      </c>
      <c r="E17" s="2">
        <f t="shared" si="0"/>
        <v>2936</v>
      </c>
      <c r="F17" s="3">
        <v>37578230</v>
      </c>
      <c r="G17" s="3">
        <v>5852250</v>
      </c>
      <c r="H17" s="3">
        <v>15309000</v>
      </c>
      <c r="I17" s="3">
        <f t="shared" si="1"/>
        <v>58739480</v>
      </c>
      <c r="J17" s="21">
        <f t="shared" si="2"/>
        <v>107108.80320000001</v>
      </c>
      <c r="K17" s="21">
        <f t="shared" si="3"/>
        <v>7464.1927999999998</v>
      </c>
    </row>
    <row r="18" spans="1:11" ht="14.55" x14ac:dyDescent="0.35">
      <c r="A18" s="11">
        <v>44621</v>
      </c>
      <c r="B18" s="2">
        <v>3098</v>
      </c>
      <c r="C18" s="2">
        <v>237</v>
      </c>
      <c r="D18" s="2">
        <v>1335</v>
      </c>
      <c r="E18" s="2">
        <f t="shared" si="0"/>
        <v>4670</v>
      </c>
      <c r="F18" s="3">
        <v>74061960</v>
      </c>
      <c r="G18" s="3">
        <v>4879485</v>
      </c>
      <c r="H18" s="3">
        <v>26372925</v>
      </c>
      <c r="I18" s="3">
        <f t="shared" si="1"/>
        <v>105314370</v>
      </c>
      <c r="J18" s="21">
        <f t="shared" si="2"/>
        <v>170367.204</v>
      </c>
      <c r="K18" s="21">
        <f t="shared" si="3"/>
        <v>11872.540999999999</v>
      </c>
    </row>
    <row r="19" spans="1:11" ht="14.55" x14ac:dyDescent="0.35">
      <c r="A19" s="11">
        <v>44652</v>
      </c>
      <c r="B19" s="2">
        <v>3611</v>
      </c>
      <c r="C19" s="2">
        <v>318</v>
      </c>
      <c r="D19" s="2">
        <v>1455</v>
      </c>
      <c r="E19" s="2">
        <f t="shared" si="0"/>
        <v>5384</v>
      </c>
      <c r="F19" s="3">
        <v>90935900</v>
      </c>
      <c r="G19" s="3">
        <v>6282090</v>
      </c>
      <c r="H19" s="3">
        <v>28743525</v>
      </c>
      <c r="I19" s="3">
        <f t="shared" si="1"/>
        <v>125961515</v>
      </c>
      <c r="J19" s="21">
        <f t="shared" si="2"/>
        <v>196414.78080000001</v>
      </c>
      <c r="K19" s="21">
        <f t="shared" si="3"/>
        <v>13687.743200000001</v>
      </c>
    </row>
    <row r="20" spans="1:11" ht="14.55" x14ac:dyDescent="0.35">
      <c r="A20" s="11">
        <v>44682</v>
      </c>
      <c r="B20" s="2">
        <v>3450</v>
      </c>
      <c r="C20" s="2">
        <v>415</v>
      </c>
      <c r="D20" s="2">
        <v>1536</v>
      </c>
      <c r="E20" s="2">
        <f t="shared" si="0"/>
        <v>5401</v>
      </c>
      <c r="F20" s="3">
        <v>91342940</v>
      </c>
      <c r="G20" s="3">
        <v>8198325</v>
      </c>
      <c r="H20" s="3">
        <v>30343680</v>
      </c>
      <c r="I20" s="3">
        <f t="shared" si="1"/>
        <v>129884945</v>
      </c>
      <c r="J20" s="21">
        <f t="shared" si="2"/>
        <v>197034.96120000002</v>
      </c>
      <c r="K20" s="21">
        <f t="shared" si="3"/>
        <v>13730.962299999999</v>
      </c>
    </row>
    <row r="21" spans="1:11" ht="14.55" x14ac:dyDescent="0.35">
      <c r="A21" s="11">
        <v>44713</v>
      </c>
      <c r="B21" s="2">
        <v>4268</v>
      </c>
      <c r="C21" s="2">
        <v>421</v>
      </c>
      <c r="D21" s="2">
        <v>853</v>
      </c>
      <c r="E21" s="2">
        <f t="shared" si="0"/>
        <v>5542</v>
      </c>
      <c r="F21" s="3">
        <v>120587150</v>
      </c>
      <c r="G21" s="3">
        <v>8316855</v>
      </c>
      <c r="H21" s="3">
        <v>16851015</v>
      </c>
      <c r="I21" s="3">
        <f t="shared" si="1"/>
        <v>145755020</v>
      </c>
      <c r="J21" s="21">
        <f t="shared" si="2"/>
        <v>202178.81040000002</v>
      </c>
      <c r="K21" s="21">
        <f t="shared" si="3"/>
        <v>14089.426600000001</v>
      </c>
    </row>
    <row r="22" spans="1:11" ht="14.55" x14ac:dyDescent="0.35">
      <c r="A22" s="11">
        <v>44743</v>
      </c>
      <c r="B22" s="2">
        <v>5550</v>
      </c>
      <c r="C22" s="2">
        <v>523</v>
      </c>
      <c r="D22" s="2">
        <v>1263</v>
      </c>
      <c r="E22" s="2">
        <f t="shared" si="0"/>
        <v>7336</v>
      </c>
      <c r="F22" s="3">
        <v>157119900</v>
      </c>
      <c r="G22" s="3">
        <v>10331627</v>
      </c>
      <c r="H22" s="3">
        <v>24949990</v>
      </c>
      <c r="I22" s="3">
        <f t="shared" si="1"/>
        <v>192401517</v>
      </c>
      <c r="J22" s="21">
        <f t="shared" si="2"/>
        <v>267626.08319999999</v>
      </c>
      <c r="K22" s="21">
        <f t="shared" si="3"/>
        <v>18650.3128</v>
      </c>
    </row>
    <row r="23" spans="1:11" ht="14.55" x14ac:dyDescent="0.35">
      <c r="A23" s="11">
        <v>44774</v>
      </c>
      <c r="B23" s="2">
        <v>7530</v>
      </c>
      <c r="C23" s="2">
        <v>336</v>
      </c>
      <c r="D23" s="2">
        <v>938</v>
      </c>
      <c r="E23" s="2">
        <f t="shared" si="0"/>
        <v>8804</v>
      </c>
      <c r="F23" s="3">
        <v>183615732</v>
      </c>
      <c r="G23" s="3">
        <v>7398109</v>
      </c>
      <c r="H23" s="3">
        <v>20653055</v>
      </c>
      <c r="I23" s="3">
        <f t="shared" si="1"/>
        <v>211666896</v>
      </c>
      <c r="J23" s="21">
        <f t="shared" si="2"/>
        <v>321180.48480000003</v>
      </c>
      <c r="K23" s="21">
        <f t="shared" si="3"/>
        <v>22382.409199999998</v>
      </c>
    </row>
    <row r="24" spans="1:11" ht="14.55" x14ac:dyDescent="0.35">
      <c r="A24" s="11">
        <v>44805</v>
      </c>
      <c r="B24" s="2">
        <v>8107</v>
      </c>
      <c r="C24" s="2">
        <v>435</v>
      </c>
      <c r="D24" s="2">
        <v>816</v>
      </c>
      <c r="E24" s="2">
        <f t="shared" si="0"/>
        <v>9358</v>
      </c>
      <c r="F24" s="3">
        <v>200017960</v>
      </c>
      <c r="G24" s="3">
        <v>9957830</v>
      </c>
      <c r="H24" s="3">
        <v>17966688</v>
      </c>
      <c r="I24" s="3">
        <f t="shared" si="1"/>
        <v>227942478</v>
      </c>
      <c r="J24" s="21">
        <f t="shared" si="2"/>
        <v>341391.06959999999</v>
      </c>
      <c r="K24" s="21">
        <f t="shared" si="3"/>
        <v>23790.843400000002</v>
      </c>
    </row>
    <row r="25" spans="1:11" ht="14.55" x14ac:dyDescent="0.35">
      <c r="A25" s="11">
        <v>44835</v>
      </c>
      <c r="B25" s="2">
        <v>8669</v>
      </c>
      <c r="C25" s="2">
        <v>652</v>
      </c>
      <c r="D25" s="2">
        <v>0</v>
      </c>
      <c r="E25" s="2">
        <f t="shared" si="0"/>
        <v>9321</v>
      </c>
      <c r="F25" s="3">
        <v>206275020</v>
      </c>
      <c r="G25" s="3">
        <v>14355855</v>
      </c>
      <c r="H25" s="3">
        <v>0</v>
      </c>
      <c r="I25" s="3">
        <f t="shared" si="1"/>
        <v>220630875</v>
      </c>
      <c r="J25" s="21">
        <f t="shared" si="2"/>
        <v>340041.26520000002</v>
      </c>
      <c r="K25" s="21">
        <f t="shared" si="3"/>
        <v>23696.778300000002</v>
      </c>
    </row>
    <row r="26" spans="1:11" ht="14.55" x14ac:dyDescent="0.35">
      <c r="A26" s="11">
        <v>44866</v>
      </c>
      <c r="B26" s="2">
        <v>5889</v>
      </c>
      <c r="C26" s="2">
        <v>611</v>
      </c>
      <c r="D26" s="2">
        <v>1400</v>
      </c>
      <c r="E26" s="2">
        <f t="shared" si="0"/>
        <v>7900</v>
      </c>
      <c r="F26" s="3">
        <v>149935830</v>
      </c>
      <c r="G26" s="3">
        <v>13654330</v>
      </c>
      <c r="H26" s="3">
        <v>30825456</v>
      </c>
      <c r="I26" s="3">
        <f t="shared" si="1"/>
        <v>194415616</v>
      </c>
      <c r="J26" s="21">
        <f t="shared" si="2"/>
        <v>288201.48</v>
      </c>
      <c r="K26" s="21">
        <f t="shared" si="3"/>
        <v>20084.169999999998</v>
      </c>
    </row>
    <row r="27" spans="1:11" ht="14.55" x14ac:dyDescent="0.35">
      <c r="A27" s="11">
        <v>44896</v>
      </c>
      <c r="B27" s="2">
        <v>10922</v>
      </c>
      <c r="C27" s="2">
        <v>625</v>
      </c>
      <c r="D27" s="2">
        <v>965</v>
      </c>
      <c r="E27" s="2">
        <f t="shared" si="0"/>
        <v>12512</v>
      </c>
      <c r="F27" s="3">
        <v>225689840</v>
      </c>
      <c r="G27" s="3">
        <v>13761364</v>
      </c>
      <c r="H27" s="3">
        <v>21247546</v>
      </c>
      <c r="I27" s="3">
        <f t="shared" si="1"/>
        <v>260698750</v>
      </c>
      <c r="J27" s="21">
        <f t="shared" si="2"/>
        <v>456452.77439999999</v>
      </c>
      <c r="K27" s="21">
        <f t="shared" si="3"/>
        <v>31809.257600000001</v>
      </c>
    </row>
    <row r="28" spans="1:11" x14ac:dyDescent="0.3">
      <c r="A28" s="23" t="s">
        <v>23</v>
      </c>
      <c r="B28" s="6">
        <f>SUBTOTAL(9,B16:B27)</f>
        <v>66496</v>
      </c>
      <c r="C28" s="6">
        <f t="shared" ref="C28" si="10">SUBTOTAL(9,C16:C27)</f>
        <v>5228</v>
      </c>
      <c r="D28" s="6">
        <f t="shared" ref="D28" si="11">SUBTOTAL(9,D16:D27)</f>
        <v>12467</v>
      </c>
      <c r="E28" s="6">
        <f t="shared" ref="E28" si="12">SUBTOTAL(9,E16:E27)</f>
        <v>84191</v>
      </c>
      <c r="F28" s="6">
        <f>SUBTOTAL(9,F16:F27)</f>
        <v>1602202602</v>
      </c>
      <c r="G28" s="6">
        <f t="shared" ref="G28" si="13">SUBTOTAL(9,G16:G27)</f>
        <v>109223662</v>
      </c>
      <c r="H28" s="6">
        <f t="shared" ref="H28" si="14">SUBTOTAL(9,H16:H27)</f>
        <v>252855430</v>
      </c>
      <c r="I28" s="6">
        <f t="shared" ref="I28" si="15">SUBTOTAL(9,I16:I27)</f>
        <v>1964281694</v>
      </c>
      <c r="J28" s="6">
        <f t="shared" ref="J28" si="16">SUBTOTAL(9,J16:J27)</f>
        <v>3071388.7092000004</v>
      </c>
      <c r="K28" s="6">
        <f t="shared" ref="K28" si="17">SUBTOTAL(9,K16:K27)</f>
        <v>214038.77929999999</v>
      </c>
    </row>
    <row r="29" spans="1:11" ht="14.55" x14ac:dyDescent="0.35">
      <c r="A29" s="14">
        <v>44927</v>
      </c>
      <c r="B29">
        <v>5418</v>
      </c>
      <c r="C29">
        <v>348</v>
      </c>
      <c r="D29">
        <v>755</v>
      </c>
      <c r="E29" s="3">
        <f t="shared" si="0"/>
        <v>6521</v>
      </c>
      <c r="F29" s="3">
        <v>120125780</v>
      </c>
      <c r="G29" s="3">
        <v>7662328</v>
      </c>
      <c r="H29" s="3">
        <v>16623728</v>
      </c>
      <c r="I29" s="3">
        <f t="shared" si="1"/>
        <v>144411836</v>
      </c>
      <c r="J29" s="21">
        <f t="shared" si="2"/>
        <v>237893.90520000001</v>
      </c>
      <c r="K29" s="21">
        <f t="shared" si="3"/>
        <v>16578.338299999999</v>
      </c>
    </row>
    <row r="30" spans="1:11" ht="14.55" x14ac:dyDescent="0.35">
      <c r="A30" s="14">
        <v>44958</v>
      </c>
      <c r="B30">
        <v>8012</v>
      </c>
      <c r="C30">
        <v>447</v>
      </c>
      <c r="D30">
        <v>632</v>
      </c>
      <c r="E30" s="3">
        <f t="shared" si="0"/>
        <v>9091</v>
      </c>
      <c r="F30" s="3">
        <v>180414430</v>
      </c>
      <c r="G30" s="3">
        <v>9842128</v>
      </c>
      <c r="H30" s="3">
        <v>12798000</v>
      </c>
      <c r="I30" s="3">
        <f t="shared" si="1"/>
        <v>203054558</v>
      </c>
      <c r="J30" s="21">
        <f t="shared" si="2"/>
        <v>331650.58919999999</v>
      </c>
      <c r="K30" s="21">
        <f t="shared" si="3"/>
        <v>23112.049299999999</v>
      </c>
    </row>
    <row r="31" spans="1:11" ht="14.55" x14ac:dyDescent="0.35">
      <c r="A31" s="14">
        <v>44986</v>
      </c>
      <c r="B31">
        <v>8298</v>
      </c>
      <c r="C31">
        <v>772</v>
      </c>
      <c r="D31">
        <v>760</v>
      </c>
      <c r="E31" s="3">
        <f t="shared" si="0"/>
        <v>9830</v>
      </c>
      <c r="F31" s="3">
        <v>173577210</v>
      </c>
      <c r="G31" s="3">
        <v>16998037</v>
      </c>
      <c r="H31" s="3">
        <v>15647640</v>
      </c>
      <c r="I31" s="3">
        <f t="shared" si="1"/>
        <v>206222887</v>
      </c>
      <c r="J31" s="21">
        <f t="shared" si="2"/>
        <v>358610.196</v>
      </c>
      <c r="K31" s="21">
        <f t="shared" si="3"/>
        <v>24990.809000000001</v>
      </c>
    </row>
    <row r="32" spans="1:11" ht="14.55" x14ac:dyDescent="0.35">
      <c r="A32" s="14">
        <v>45017</v>
      </c>
      <c r="B32">
        <v>8491</v>
      </c>
      <c r="C32">
        <v>490</v>
      </c>
      <c r="D32">
        <v>0</v>
      </c>
      <c r="E32" s="3">
        <f t="shared" si="0"/>
        <v>8981</v>
      </c>
      <c r="F32" s="3">
        <v>169946770</v>
      </c>
      <c r="G32" s="3">
        <v>10788909</v>
      </c>
      <c r="H32" s="3">
        <v>0</v>
      </c>
      <c r="I32" s="3">
        <f t="shared" si="1"/>
        <v>180735679</v>
      </c>
      <c r="J32" s="21">
        <f t="shared" si="2"/>
        <v>327637.65720000002</v>
      </c>
      <c r="K32" s="21">
        <f t="shared" si="3"/>
        <v>22832.3963</v>
      </c>
    </row>
    <row r="33" spans="1:11" ht="14.55" x14ac:dyDescent="0.35">
      <c r="A33" s="14">
        <v>45047</v>
      </c>
      <c r="B33">
        <v>5808</v>
      </c>
      <c r="C33">
        <v>680</v>
      </c>
      <c r="D33">
        <v>0</v>
      </c>
      <c r="E33" s="3">
        <f t="shared" si="0"/>
        <v>6488</v>
      </c>
      <c r="F33" s="3">
        <v>110119480</v>
      </c>
      <c r="G33" s="3">
        <v>12437200</v>
      </c>
      <c r="H33" s="3">
        <v>0</v>
      </c>
      <c r="I33" s="3">
        <f t="shared" si="1"/>
        <v>122556680</v>
      </c>
      <c r="J33" s="21">
        <f t="shared" si="2"/>
        <v>236690.02559999999</v>
      </c>
      <c r="K33" s="21">
        <f t="shared" si="3"/>
        <v>16494.4424</v>
      </c>
    </row>
    <row r="34" spans="1:11" ht="14.55" x14ac:dyDescent="0.35">
      <c r="A34" s="14">
        <v>45078</v>
      </c>
      <c r="B34">
        <v>6249</v>
      </c>
      <c r="C34">
        <v>680</v>
      </c>
      <c r="D34">
        <v>47296</v>
      </c>
      <c r="E34" s="3">
        <f t="shared" si="0"/>
        <v>54225</v>
      </c>
      <c r="F34" s="3">
        <v>114660690</v>
      </c>
      <c r="G34" s="3">
        <v>12437200</v>
      </c>
      <c r="H34" s="3">
        <v>865043840</v>
      </c>
      <c r="I34" s="3">
        <f t="shared" si="1"/>
        <v>992141730</v>
      </c>
      <c r="J34" s="21">
        <f t="shared" si="2"/>
        <v>1978193.07</v>
      </c>
      <c r="K34" s="21">
        <f t="shared" si="3"/>
        <v>137856.2175</v>
      </c>
    </row>
    <row r="35" spans="1:11" ht="14.55" x14ac:dyDescent="0.35">
      <c r="A35" s="14">
        <v>45108</v>
      </c>
      <c r="B35">
        <v>5140</v>
      </c>
      <c r="C35">
        <v>680</v>
      </c>
      <c r="D35">
        <v>55</v>
      </c>
      <c r="E35" s="3">
        <f t="shared" si="0"/>
        <v>5875</v>
      </c>
      <c r="F35" s="3">
        <v>96664607</v>
      </c>
      <c r="G35" s="3">
        <v>12437200</v>
      </c>
      <c r="H35" s="3">
        <v>1316880</v>
      </c>
      <c r="I35" s="3">
        <f t="shared" si="1"/>
        <v>110418687</v>
      </c>
      <c r="J35" s="21">
        <f t="shared" si="2"/>
        <v>214327.05000000002</v>
      </c>
      <c r="K35" s="21">
        <f t="shared" si="3"/>
        <v>14936.012500000001</v>
      </c>
    </row>
    <row r="36" spans="1:11" ht="14.55" x14ac:dyDescent="0.35">
      <c r="A36" s="14">
        <v>45139</v>
      </c>
      <c r="B36">
        <v>8586</v>
      </c>
      <c r="C36">
        <v>400</v>
      </c>
      <c r="D36">
        <v>625</v>
      </c>
      <c r="E36" s="3">
        <f t="shared" si="0"/>
        <v>9611</v>
      </c>
      <c r="F36" s="3">
        <v>184993370</v>
      </c>
      <c r="G36" s="3">
        <v>7316000</v>
      </c>
      <c r="H36" s="3">
        <v>11431250</v>
      </c>
      <c r="I36" s="3">
        <f t="shared" si="1"/>
        <v>203740620</v>
      </c>
      <c r="J36" s="21">
        <f t="shared" si="2"/>
        <v>350620.81320000003</v>
      </c>
      <c r="K36" s="21">
        <f t="shared" si="3"/>
        <v>24434.045300000002</v>
      </c>
    </row>
    <row r="37" spans="1:11" ht="14.55" x14ac:dyDescent="0.35">
      <c r="A37" s="14">
        <v>45170</v>
      </c>
      <c r="B37">
        <v>10033</v>
      </c>
      <c r="C37">
        <v>360</v>
      </c>
      <c r="D37">
        <v>927</v>
      </c>
      <c r="E37" s="3">
        <f t="shared" si="0"/>
        <v>11320</v>
      </c>
      <c r="F37" s="3">
        <v>232576940</v>
      </c>
      <c r="G37" s="3">
        <v>6584400</v>
      </c>
      <c r="H37" s="3">
        <v>16954830</v>
      </c>
      <c r="I37" s="3">
        <f t="shared" si="1"/>
        <v>256116170</v>
      </c>
      <c r="J37" s="21">
        <f t="shared" si="2"/>
        <v>412967.18400000001</v>
      </c>
      <c r="K37" s="21">
        <f t="shared" si="3"/>
        <v>28778.835999999999</v>
      </c>
    </row>
    <row r="38" spans="1:11" ht="14.55" x14ac:dyDescent="0.35">
      <c r="A38" s="14">
        <v>45200</v>
      </c>
      <c r="B38">
        <v>9158</v>
      </c>
      <c r="C38">
        <v>160</v>
      </c>
      <c r="D38">
        <v>226</v>
      </c>
      <c r="E38" s="3">
        <f t="shared" si="0"/>
        <v>9544</v>
      </c>
      <c r="F38" s="3">
        <v>216676390</v>
      </c>
      <c r="G38" s="3">
        <v>2926400</v>
      </c>
      <c r="H38" s="3">
        <v>4133540</v>
      </c>
      <c r="I38" s="3">
        <f t="shared" si="1"/>
        <v>223736330</v>
      </c>
      <c r="J38" s="21">
        <f t="shared" si="2"/>
        <v>348176.57280000002</v>
      </c>
      <c r="K38" s="21">
        <f t="shared" si="3"/>
        <v>24263.711200000002</v>
      </c>
    </row>
    <row r="39" spans="1:11" ht="14.55" x14ac:dyDescent="0.35">
      <c r="A39" s="14">
        <v>45231</v>
      </c>
      <c r="B39">
        <v>9560</v>
      </c>
      <c r="C39">
        <v>160</v>
      </c>
      <c r="D39">
        <v>4425</v>
      </c>
      <c r="E39" s="3">
        <f t="shared" si="0"/>
        <v>14145</v>
      </c>
      <c r="F39" s="3">
        <v>213094430</v>
      </c>
      <c r="G39" s="3">
        <v>2926400</v>
      </c>
      <c r="H39" s="3">
        <v>80933250</v>
      </c>
      <c r="I39" s="3">
        <f t="shared" si="1"/>
        <v>296954080</v>
      </c>
      <c r="J39" s="21">
        <f t="shared" si="2"/>
        <v>516026.57400000002</v>
      </c>
      <c r="K39" s="21">
        <f t="shared" si="3"/>
        <v>35960.833500000001</v>
      </c>
    </row>
    <row r="40" spans="1:11" ht="14.55" x14ac:dyDescent="0.35">
      <c r="A40" s="14">
        <v>45261</v>
      </c>
      <c r="B40">
        <v>10359</v>
      </c>
      <c r="C40">
        <v>160</v>
      </c>
      <c r="D40">
        <v>1140</v>
      </c>
      <c r="E40" s="3">
        <f t="shared" si="0"/>
        <v>11659</v>
      </c>
      <c r="F40" s="3">
        <v>210546750</v>
      </c>
      <c r="G40" s="3">
        <v>2926400</v>
      </c>
      <c r="H40" s="3">
        <v>20850600</v>
      </c>
      <c r="I40" s="3">
        <f t="shared" si="1"/>
        <v>234323750</v>
      </c>
      <c r="J40" s="21">
        <f t="shared" si="2"/>
        <v>425334.31080000004</v>
      </c>
      <c r="K40" s="21">
        <f t="shared" si="3"/>
        <v>29640.6757</v>
      </c>
    </row>
    <row r="41" spans="1:11" x14ac:dyDescent="0.3">
      <c r="A41" s="24" t="s">
        <v>24</v>
      </c>
      <c r="B41" s="6">
        <f>SUBTOTAL(9,B29:B40)</f>
        <v>95112</v>
      </c>
      <c r="C41" s="6">
        <f t="shared" ref="C41" si="18">SUBTOTAL(9,C29:C40)</f>
        <v>5337</v>
      </c>
      <c r="D41" s="6">
        <f t="shared" ref="D41" si="19">SUBTOTAL(9,D29:D40)</f>
        <v>56841</v>
      </c>
      <c r="E41" s="6">
        <f t="shared" ref="E41" si="20">SUBTOTAL(9,E29:E40)</f>
        <v>157290</v>
      </c>
      <c r="F41" s="6">
        <f>SUBTOTAL(9,F29:F40)</f>
        <v>2023396847</v>
      </c>
      <c r="G41" s="6">
        <f t="shared" ref="G41" si="21">SUBTOTAL(9,G29:G40)</f>
        <v>105282602</v>
      </c>
      <c r="H41" s="6">
        <f t="shared" ref="H41" si="22">SUBTOTAL(9,H29:H40)</f>
        <v>1045733558</v>
      </c>
      <c r="I41" s="6">
        <f t="shared" ref="I41" si="23">SUBTOTAL(9,I29:I40)</f>
        <v>3174413007</v>
      </c>
      <c r="J41" s="6">
        <f t="shared" ref="J41" si="24">SUBTOTAL(9,J29:J40)</f>
        <v>5738127.9480000008</v>
      </c>
      <c r="K41" s="6">
        <f t="shared" ref="K41" si="25">SUBTOTAL(9,K29:K40)</f>
        <v>399878.36700000009</v>
      </c>
    </row>
    <row r="42" spans="1:11" x14ac:dyDescent="0.3">
      <c r="A42" s="17">
        <v>45292</v>
      </c>
      <c r="B42">
        <v>8693</v>
      </c>
      <c r="C42">
        <v>80</v>
      </c>
      <c r="D42">
        <v>2173</v>
      </c>
      <c r="E42" s="3">
        <f t="shared" si="0"/>
        <v>10946</v>
      </c>
      <c r="F42" s="3">
        <v>174189810</v>
      </c>
      <c r="G42" s="3">
        <v>1463200</v>
      </c>
      <c r="H42" s="3">
        <v>39744170</v>
      </c>
      <c r="I42" s="3">
        <f t="shared" si="1"/>
        <v>215397180</v>
      </c>
      <c r="J42" s="21">
        <f t="shared" si="2"/>
        <v>399323.21520000004</v>
      </c>
      <c r="K42" s="21">
        <f t="shared" si="3"/>
        <v>27828.015800000001</v>
      </c>
    </row>
    <row r="43" spans="1:11" x14ac:dyDescent="0.3">
      <c r="A43" s="17">
        <v>45323</v>
      </c>
      <c r="B43">
        <v>6216</v>
      </c>
      <c r="C43">
        <v>160</v>
      </c>
      <c r="D43">
        <v>276</v>
      </c>
      <c r="E43" s="3">
        <f t="shared" si="0"/>
        <v>6652</v>
      </c>
      <c r="F43" s="3">
        <v>131484180</v>
      </c>
      <c r="G43" s="3">
        <v>2926400</v>
      </c>
      <c r="H43" s="3">
        <v>5048040</v>
      </c>
      <c r="I43" s="3">
        <f t="shared" si="1"/>
        <v>139458620</v>
      </c>
      <c r="J43" s="21">
        <f t="shared" si="2"/>
        <v>242672.9424</v>
      </c>
      <c r="K43" s="21">
        <f t="shared" si="3"/>
        <v>16911.3796</v>
      </c>
    </row>
  </sheetData>
  <mergeCells count="2">
    <mergeCell ref="B1:E1"/>
    <mergeCell ref="F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3"/>
  <sheetViews>
    <sheetView topLeftCell="A31" workbookViewId="0">
      <selection activeCell="E38" sqref="E38"/>
    </sheetView>
  </sheetViews>
  <sheetFormatPr defaultRowHeight="14.4" x14ac:dyDescent="0.3"/>
  <cols>
    <col min="1" max="1" width="13.77734375" bestFit="1" customWidth="1"/>
    <col min="2" max="2" width="7.6640625" style="2" bestFit="1" customWidth="1"/>
    <col min="3" max="3" width="12.21875" style="2" bestFit="1" customWidth="1"/>
    <col min="4" max="4" width="10.109375" style="1" bestFit="1" customWidth="1"/>
    <col min="5" max="5" width="9.109375" style="1" bestFit="1" customWidth="1"/>
  </cols>
  <sheetData>
    <row r="2" spans="1:5" x14ac:dyDescent="0.3">
      <c r="B2" s="2" t="s">
        <v>22</v>
      </c>
      <c r="C2" s="2" t="s">
        <v>21</v>
      </c>
      <c r="D2" s="1" t="s">
        <v>9</v>
      </c>
      <c r="E2" s="1" t="s">
        <v>10</v>
      </c>
    </row>
    <row r="3" spans="1:5" ht="14.55" x14ac:dyDescent="0.35">
      <c r="A3" s="8">
        <v>44197</v>
      </c>
      <c r="B3" s="2">
        <v>36</v>
      </c>
      <c r="C3" s="2">
        <v>1020000</v>
      </c>
      <c r="D3" s="1">
        <f>B3*42.5</f>
        <v>1530</v>
      </c>
      <c r="E3" s="1">
        <f>2.6669*B3</f>
        <v>96.008399999999995</v>
      </c>
    </row>
    <row r="4" spans="1:5" ht="14.55" x14ac:dyDescent="0.35">
      <c r="A4" s="8">
        <v>44228</v>
      </c>
      <c r="B4" s="2">
        <v>60</v>
      </c>
      <c r="C4" s="2">
        <v>1830000</v>
      </c>
      <c r="D4" s="1">
        <f t="shared" ref="D4:D43" si="0">B4*42.5</f>
        <v>2550</v>
      </c>
      <c r="E4" s="1">
        <f t="shared" ref="E4:E43" si="1">2.6669*B4</f>
        <v>160.01400000000001</v>
      </c>
    </row>
    <row r="5" spans="1:5" ht="14.55" x14ac:dyDescent="0.35">
      <c r="A5" s="8">
        <v>44256</v>
      </c>
      <c r="B5" s="2">
        <v>72</v>
      </c>
      <c r="C5" s="2">
        <v>2220000</v>
      </c>
      <c r="D5" s="1">
        <f t="shared" si="0"/>
        <v>3060</v>
      </c>
      <c r="E5" s="1">
        <f t="shared" si="1"/>
        <v>192.01679999999999</v>
      </c>
    </row>
    <row r="6" spans="1:5" ht="14.55" x14ac:dyDescent="0.35">
      <c r="A6" s="8">
        <v>44287</v>
      </c>
      <c r="B6" s="2">
        <v>60</v>
      </c>
      <c r="C6" s="2">
        <v>1840000</v>
      </c>
      <c r="D6" s="1">
        <f t="shared" si="0"/>
        <v>2550</v>
      </c>
      <c r="E6" s="1">
        <f t="shared" si="1"/>
        <v>160.01400000000001</v>
      </c>
    </row>
    <row r="7" spans="1:5" ht="14.55" x14ac:dyDescent="0.35">
      <c r="A7" s="8">
        <v>44317</v>
      </c>
      <c r="B7" s="2">
        <v>72</v>
      </c>
      <c r="C7" s="2">
        <v>2070000</v>
      </c>
      <c r="D7" s="1">
        <f t="shared" si="0"/>
        <v>3060</v>
      </c>
      <c r="E7" s="1">
        <f t="shared" si="1"/>
        <v>192.01679999999999</v>
      </c>
    </row>
    <row r="8" spans="1:5" ht="14.55" x14ac:dyDescent="0.35">
      <c r="A8" s="8">
        <v>44348</v>
      </c>
      <c r="B8" s="2">
        <v>84</v>
      </c>
      <c r="C8" s="2">
        <v>2700000</v>
      </c>
      <c r="D8" s="1">
        <f t="shared" si="0"/>
        <v>3570</v>
      </c>
      <c r="E8" s="1">
        <f t="shared" si="1"/>
        <v>224.0196</v>
      </c>
    </row>
    <row r="9" spans="1:5" ht="14.55" x14ac:dyDescent="0.35">
      <c r="A9" s="8">
        <v>44378</v>
      </c>
      <c r="B9" s="2">
        <v>108</v>
      </c>
      <c r="C9" s="2">
        <v>3600000</v>
      </c>
      <c r="D9" s="1">
        <f t="shared" si="0"/>
        <v>4590</v>
      </c>
      <c r="E9" s="1">
        <f t="shared" si="1"/>
        <v>288.02519999999998</v>
      </c>
    </row>
    <row r="10" spans="1:5" ht="14.55" x14ac:dyDescent="0.35">
      <c r="A10" s="8">
        <v>44409</v>
      </c>
      <c r="B10" s="2">
        <v>96</v>
      </c>
      <c r="C10" s="2">
        <v>3080000</v>
      </c>
      <c r="D10" s="1">
        <f t="shared" si="0"/>
        <v>4080</v>
      </c>
      <c r="E10" s="1">
        <f t="shared" si="1"/>
        <v>256.0224</v>
      </c>
    </row>
    <row r="11" spans="1:5" ht="14.55" x14ac:dyDescent="0.35">
      <c r="A11" s="8">
        <v>44440</v>
      </c>
      <c r="B11" s="2">
        <v>96</v>
      </c>
      <c r="C11" s="2">
        <v>3276000</v>
      </c>
      <c r="D11" s="1">
        <f t="shared" si="0"/>
        <v>4080</v>
      </c>
      <c r="E11" s="1">
        <f t="shared" si="1"/>
        <v>256.0224</v>
      </c>
    </row>
    <row r="12" spans="1:5" ht="14.55" x14ac:dyDescent="0.35">
      <c r="A12" s="8">
        <v>44470</v>
      </c>
      <c r="B12" s="2">
        <v>108</v>
      </c>
      <c r="C12" s="2">
        <v>3874500</v>
      </c>
      <c r="D12" s="1">
        <f t="shared" si="0"/>
        <v>4590</v>
      </c>
      <c r="E12" s="1">
        <f t="shared" si="1"/>
        <v>288.02519999999998</v>
      </c>
    </row>
    <row r="13" spans="1:5" ht="14.55" x14ac:dyDescent="0.35">
      <c r="A13" s="8">
        <v>44501</v>
      </c>
      <c r="B13" s="2">
        <v>120</v>
      </c>
      <c r="C13" s="2">
        <v>4410000</v>
      </c>
      <c r="D13" s="1">
        <f t="shared" si="0"/>
        <v>5100</v>
      </c>
      <c r="E13" s="1">
        <f t="shared" si="1"/>
        <v>320.02800000000002</v>
      </c>
    </row>
    <row r="14" spans="1:5" ht="14.55" x14ac:dyDescent="0.35">
      <c r="A14" s="8">
        <v>44531</v>
      </c>
      <c r="B14" s="2">
        <v>120</v>
      </c>
      <c r="C14" s="2">
        <v>5166000</v>
      </c>
      <c r="D14" s="1">
        <f t="shared" si="0"/>
        <v>5100</v>
      </c>
      <c r="E14" s="1">
        <f t="shared" si="1"/>
        <v>320.02800000000002</v>
      </c>
    </row>
    <row r="15" spans="1:5" x14ac:dyDescent="0.3">
      <c r="A15" s="22" t="s">
        <v>15</v>
      </c>
      <c r="B15" s="6">
        <f>SUBTOTAL(9,B3:B14)</f>
        <v>1032</v>
      </c>
      <c r="C15" s="6">
        <f t="shared" ref="C15:E15" si="2">SUBTOTAL(9,C3:C14)</f>
        <v>35086500</v>
      </c>
      <c r="D15" s="6">
        <f t="shared" si="2"/>
        <v>43860</v>
      </c>
      <c r="E15" s="6">
        <f t="shared" si="2"/>
        <v>2752.2408000000005</v>
      </c>
    </row>
    <row r="16" spans="1:5" ht="14.55" x14ac:dyDescent="0.35">
      <c r="A16" s="11">
        <v>44562</v>
      </c>
      <c r="B16" s="2">
        <v>120</v>
      </c>
      <c r="C16" s="2">
        <v>4200000</v>
      </c>
      <c r="D16" s="1">
        <f t="shared" si="0"/>
        <v>5100</v>
      </c>
      <c r="E16" s="1">
        <f t="shared" si="1"/>
        <v>320.02800000000002</v>
      </c>
    </row>
    <row r="17" spans="1:5" ht="14.55" x14ac:dyDescent="0.35">
      <c r="A17" s="11">
        <v>44593</v>
      </c>
      <c r="B17" s="2">
        <v>108</v>
      </c>
      <c r="C17" s="2">
        <v>3780000</v>
      </c>
      <c r="D17" s="1">
        <f t="shared" si="0"/>
        <v>4590</v>
      </c>
      <c r="E17" s="1">
        <f t="shared" si="1"/>
        <v>288.02519999999998</v>
      </c>
    </row>
    <row r="18" spans="1:5" ht="14.55" x14ac:dyDescent="0.35">
      <c r="A18" s="11">
        <v>44621</v>
      </c>
      <c r="B18" s="2">
        <v>228</v>
      </c>
      <c r="C18" s="2">
        <v>8220000</v>
      </c>
      <c r="D18" s="1">
        <f t="shared" si="0"/>
        <v>9690</v>
      </c>
      <c r="E18" s="1">
        <f t="shared" si="1"/>
        <v>608.05320000000006</v>
      </c>
    </row>
    <row r="19" spans="1:5" ht="14.55" x14ac:dyDescent="0.35">
      <c r="A19" s="11">
        <v>44652</v>
      </c>
      <c r="B19" s="2">
        <v>315</v>
      </c>
      <c r="C19" s="2">
        <v>11900000</v>
      </c>
      <c r="D19" s="1">
        <f t="shared" si="0"/>
        <v>13387.5</v>
      </c>
      <c r="E19" s="1">
        <f t="shared" si="1"/>
        <v>840.07349999999997</v>
      </c>
    </row>
    <row r="20" spans="1:5" ht="14.55" x14ac:dyDescent="0.35">
      <c r="A20" s="11">
        <v>44682</v>
      </c>
      <c r="B20" s="2">
        <v>360</v>
      </c>
      <c r="C20" s="2">
        <v>13600000</v>
      </c>
      <c r="D20" s="1">
        <f t="shared" si="0"/>
        <v>15300</v>
      </c>
      <c r="E20" s="1">
        <f t="shared" si="1"/>
        <v>960.08400000000006</v>
      </c>
    </row>
    <row r="21" spans="1:5" ht="14.55" x14ac:dyDescent="0.35">
      <c r="A21" s="11">
        <v>44713</v>
      </c>
      <c r="B21" s="2">
        <v>270</v>
      </c>
      <c r="C21" s="2">
        <v>10200000</v>
      </c>
      <c r="D21" s="1">
        <f t="shared" si="0"/>
        <v>11475</v>
      </c>
      <c r="E21" s="1">
        <f t="shared" si="1"/>
        <v>720.06299999999999</v>
      </c>
    </row>
    <row r="22" spans="1:5" ht="14.55" x14ac:dyDescent="0.35">
      <c r="A22" s="11">
        <v>44743</v>
      </c>
      <c r="B22" s="2">
        <v>450</v>
      </c>
      <c r="C22" s="2">
        <v>16500000</v>
      </c>
      <c r="D22" s="1">
        <f t="shared" si="0"/>
        <v>19125</v>
      </c>
      <c r="E22" s="1">
        <f t="shared" si="1"/>
        <v>1200.105</v>
      </c>
    </row>
    <row r="23" spans="1:5" ht="14.55" x14ac:dyDescent="0.35">
      <c r="A23" s="11">
        <v>44774</v>
      </c>
      <c r="B23" s="2">
        <v>450</v>
      </c>
      <c r="C23" s="2">
        <v>13800000</v>
      </c>
      <c r="D23" s="1">
        <f t="shared" si="0"/>
        <v>19125</v>
      </c>
      <c r="E23" s="1">
        <f t="shared" si="1"/>
        <v>1200.105</v>
      </c>
    </row>
    <row r="24" spans="1:5" ht="14.55" x14ac:dyDescent="0.35">
      <c r="A24" s="11">
        <v>44805</v>
      </c>
      <c r="B24" s="2">
        <v>465</v>
      </c>
      <c r="C24" s="2">
        <v>12910000</v>
      </c>
      <c r="D24" s="1">
        <f t="shared" si="0"/>
        <v>19762.5</v>
      </c>
      <c r="E24" s="1">
        <f t="shared" si="1"/>
        <v>1240.1085</v>
      </c>
    </row>
    <row r="25" spans="1:5" ht="14.55" x14ac:dyDescent="0.35">
      <c r="A25" s="11">
        <v>44835</v>
      </c>
      <c r="B25" s="2">
        <v>342</v>
      </c>
      <c r="C25" s="2">
        <v>8780000</v>
      </c>
      <c r="D25" s="1">
        <f t="shared" si="0"/>
        <v>14535</v>
      </c>
      <c r="E25" s="1">
        <f t="shared" si="1"/>
        <v>912.07979999999998</v>
      </c>
    </row>
    <row r="26" spans="1:5" ht="14.55" x14ac:dyDescent="0.35">
      <c r="A26" s="11">
        <v>44866</v>
      </c>
      <c r="B26" s="2">
        <v>318</v>
      </c>
      <c r="C26" s="2">
        <v>5800000</v>
      </c>
      <c r="D26" s="1">
        <f t="shared" si="0"/>
        <v>13515</v>
      </c>
      <c r="E26" s="1">
        <f t="shared" si="1"/>
        <v>848.07420000000002</v>
      </c>
    </row>
    <row r="27" spans="1:5" ht="14.55" x14ac:dyDescent="0.35">
      <c r="A27" s="11">
        <v>44896</v>
      </c>
      <c r="B27" s="2">
        <v>486</v>
      </c>
      <c r="C27" s="2">
        <v>13110000</v>
      </c>
      <c r="D27" s="1">
        <f t="shared" si="0"/>
        <v>20655</v>
      </c>
      <c r="E27" s="1">
        <f t="shared" si="1"/>
        <v>1296.1134</v>
      </c>
    </row>
    <row r="28" spans="1:5" x14ac:dyDescent="0.3">
      <c r="A28" s="23" t="s">
        <v>23</v>
      </c>
      <c r="B28" s="6">
        <f>SUBTOTAL(9,B16:B27)</f>
        <v>3912</v>
      </c>
      <c r="C28" s="6">
        <f t="shared" ref="C28" si="3">SUBTOTAL(9,C16:C27)</f>
        <v>122800000</v>
      </c>
      <c r="D28" s="6">
        <f t="shared" ref="D28" si="4">SUBTOTAL(9,D16:D27)</f>
        <v>166260</v>
      </c>
      <c r="E28" s="6">
        <f t="shared" ref="E28" si="5">SUBTOTAL(9,E16:E27)</f>
        <v>10432.9128</v>
      </c>
    </row>
    <row r="29" spans="1:5" ht="14.55" x14ac:dyDescent="0.35">
      <c r="A29" s="14">
        <v>44927</v>
      </c>
      <c r="B29" s="2">
        <v>350</v>
      </c>
      <c r="C29" s="2">
        <v>13599825</v>
      </c>
      <c r="D29" s="1">
        <f t="shared" si="0"/>
        <v>14875</v>
      </c>
      <c r="E29" s="1">
        <f t="shared" si="1"/>
        <v>933.41499999999996</v>
      </c>
    </row>
    <row r="30" spans="1:5" ht="14.55" x14ac:dyDescent="0.35">
      <c r="A30" s="14">
        <v>44958</v>
      </c>
      <c r="B30" s="2">
        <v>315</v>
      </c>
      <c r="C30" s="2">
        <v>11900000</v>
      </c>
      <c r="D30" s="1">
        <f t="shared" si="0"/>
        <v>13387.5</v>
      </c>
      <c r="E30" s="1">
        <f t="shared" si="1"/>
        <v>840.07349999999997</v>
      </c>
    </row>
    <row r="31" spans="1:5" ht="14.55" x14ac:dyDescent="0.35">
      <c r="A31" s="14">
        <v>44986</v>
      </c>
      <c r="B31" s="2">
        <v>405</v>
      </c>
      <c r="C31" s="2">
        <v>12825000</v>
      </c>
      <c r="D31" s="1">
        <f t="shared" si="0"/>
        <v>17212.5</v>
      </c>
      <c r="E31" s="1">
        <f t="shared" si="1"/>
        <v>1080.0944999999999</v>
      </c>
    </row>
    <row r="32" spans="1:5" ht="14.55" x14ac:dyDescent="0.35">
      <c r="A32" s="14">
        <v>45017</v>
      </c>
      <c r="B32" s="2">
        <v>360</v>
      </c>
      <c r="C32" s="2">
        <v>9750000</v>
      </c>
      <c r="D32" s="1">
        <f t="shared" si="0"/>
        <v>15300</v>
      </c>
      <c r="E32" s="1">
        <f t="shared" si="1"/>
        <v>960.08400000000006</v>
      </c>
    </row>
    <row r="33" spans="1:5" ht="14.55" x14ac:dyDescent="0.35">
      <c r="A33" s="14">
        <v>45047</v>
      </c>
      <c r="B33" s="2">
        <v>405</v>
      </c>
      <c r="C33" s="2">
        <v>10968750</v>
      </c>
      <c r="D33" s="1">
        <f t="shared" si="0"/>
        <v>17212.5</v>
      </c>
      <c r="E33" s="1">
        <f t="shared" si="1"/>
        <v>1080.0944999999999</v>
      </c>
    </row>
    <row r="34" spans="1:5" ht="14.55" x14ac:dyDescent="0.35">
      <c r="A34" s="14">
        <v>45078</v>
      </c>
      <c r="B34" s="2">
        <v>405</v>
      </c>
      <c r="C34" s="2">
        <v>1462500</v>
      </c>
      <c r="D34" s="1">
        <f t="shared" si="0"/>
        <v>17212.5</v>
      </c>
      <c r="E34" s="1">
        <f t="shared" si="1"/>
        <v>1080.0944999999999</v>
      </c>
    </row>
    <row r="35" spans="1:5" ht="14.55" x14ac:dyDescent="0.35">
      <c r="A35" s="14">
        <v>45108</v>
      </c>
      <c r="B35" s="2">
        <v>360</v>
      </c>
      <c r="C35" s="2">
        <v>13600000</v>
      </c>
      <c r="D35" s="1">
        <f t="shared" si="0"/>
        <v>15300</v>
      </c>
      <c r="E35" s="1">
        <f t="shared" si="1"/>
        <v>960.08400000000006</v>
      </c>
    </row>
    <row r="36" spans="1:5" ht="14.55" x14ac:dyDescent="0.35">
      <c r="A36" s="14">
        <v>45139</v>
      </c>
      <c r="B36" s="2">
        <v>360</v>
      </c>
      <c r="C36" s="2">
        <v>13600000</v>
      </c>
      <c r="D36" s="1">
        <f t="shared" si="0"/>
        <v>15300</v>
      </c>
      <c r="E36" s="1">
        <f t="shared" si="1"/>
        <v>960.08400000000006</v>
      </c>
    </row>
    <row r="37" spans="1:5" ht="14.55" x14ac:dyDescent="0.35">
      <c r="A37" s="14">
        <v>45170</v>
      </c>
      <c r="B37" s="2">
        <v>315</v>
      </c>
      <c r="C37" s="2">
        <v>11899999.65</v>
      </c>
      <c r="D37" s="1">
        <f t="shared" si="0"/>
        <v>13387.5</v>
      </c>
      <c r="E37" s="1">
        <f t="shared" si="1"/>
        <v>840.07349999999997</v>
      </c>
    </row>
    <row r="38" spans="1:5" ht="14.55" x14ac:dyDescent="0.35">
      <c r="A38" s="14">
        <v>45200</v>
      </c>
      <c r="B38" s="2">
        <v>315</v>
      </c>
      <c r="C38" s="2">
        <v>11899999.65</v>
      </c>
      <c r="D38" s="1">
        <f t="shared" si="0"/>
        <v>13387.5</v>
      </c>
      <c r="E38" s="1">
        <f t="shared" si="1"/>
        <v>840.07349999999997</v>
      </c>
    </row>
    <row r="39" spans="1:5" ht="14.55" x14ac:dyDescent="0.35">
      <c r="A39" s="14">
        <v>45231</v>
      </c>
      <c r="B39" s="2">
        <v>372</v>
      </c>
      <c r="C39" s="2">
        <v>12745454.400000002</v>
      </c>
      <c r="D39" s="1">
        <f t="shared" si="0"/>
        <v>15810</v>
      </c>
      <c r="E39" s="1">
        <f t="shared" si="1"/>
        <v>992.08680000000004</v>
      </c>
    </row>
    <row r="40" spans="1:5" ht="14.55" x14ac:dyDescent="0.35">
      <c r="A40" s="14">
        <v>45261</v>
      </c>
      <c r="B40" s="2">
        <v>360</v>
      </c>
      <c r="C40" s="2">
        <v>13600000</v>
      </c>
      <c r="D40" s="1">
        <f t="shared" si="0"/>
        <v>15300</v>
      </c>
      <c r="E40" s="1">
        <f t="shared" si="1"/>
        <v>960.08400000000006</v>
      </c>
    </row>
    <row r="41" spans="1:5" x14ac:dyDescent="0.3">
      <c r="A41" s="24" t="s">
        <v>24</v>
      </c>
      <c r="B41" s="6">
        <f>SUBTOTAL(9,B29:B40)</f>
        <v>4322</v>
      </c>
      <c r="C41" s="6">
        <f t="shared" ref="C41" si="6">SUBTOTAL(9,C29:C40)</f>
        <v>137851528.70000002</v>
      </c>
      <c r="D41" s="6">
        <f t="shared" ref="D41" si="7">SUBTOTAL(9,D29:D40)</f>
        <v>183685</v>
      </c>
      <c r="E41" s="6">
        <f t="shared" ref="E41" si="8">SUBTOTAL(9,E29:E40)</f>
        <v>11526.3418</v>
      </c>
    </row>
    <row r="42" spans="1:5" ht="14.55" x14ac:dyDescent="0.35">
      <c r="A42" s="17">
        <v>45292</v>
      </c>
      <c r="B42" s="2">
        <v>384</v>
      </c>
      <c r="C42" s="2">
        <v>14440000.036000002</v>
      </c>
      <c r="D42" s="1">
        <f t="shared" si="0"/>
        <v>16320</v>
      </c>
      <c r="E42" s="1">
        <f t="shared" si="1"/>
        <v>1024.0896</v>
      </c>
    </row>
    <row r="43" spans="1:5" ht="14.55" x14ac:dyDescent="0.35">
      <c r="A43" s="17">
        <v>45323</v>
      </c>
      <c r="B43" s="2">
        <v>237</v>
      </c>
      <c r="C43" s="2">
        <v>9272727.3000000007</v>
      </c>
      <c r="D43" s="1">
        <f t="shared" si="0"/>
        <v>10072.5</v>
      </c>
      <c r="E43" s="1">
        <f t="shared" si="1"/>
        <v>632.05529999999999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6"/>
  <sheetViews>
    <sheetView topLeftCell="A34" workbookViewId="0">
      <selection activeCell="D46" sqref="D46"/>
    </sheetView>
  </sheetViews>
  <sheetFormatPr defaultRowHeight="14.4" x14ac:dyDescent="0.3"/>
  <cols>
    <col min="1" max="1" width="13.77734375" bestFit="1" customWidth="1"/>
    <col min="2" max="2" width="11.21875" bestFit="1" customWidth="1"/>
    <col min="3" max="4" width="12.77734375" bestFit="1" customWidth="1"/>
    <col min="5" max="5" width="11.21875" bestFit="1" customWidth="1"/>
    <col min="6" max="6" width="12.21875" bestFit="1" customWidth="1"/>
    <col min="7" max="7" width="11.88671875" bestFit="1" customWidth="1"/>
    <col min="8" max="8" width="8.77734375" style="1"/>
  </cols>
  <sheetData>
    <row r="2" spans="1:8" x14ac:dyDescent="0.3">
      <c r="B2" t="s">
        <v>25</v>
      </c>
      <c r="C2" t="s">
        <v>26</v>
      </c>
      <c r="D2" t="s">
        <v>27</v>
      </c>
      <c r="E2" t="s">
        <v>28</v>
      </c>
      <c r="F2" t="s">
        <v>29</v>
      </c>
      <c r="G2" s="2" t="s">
        <v>7</v>
      </c>
      <c r="H2" s="1" t="s">
        <v>30</v>
      </c>
    </row>
    <row r="3" spans="1:8" ht="14.55" x14ac:dyDescent="0.35">
      <c r="A3" s="8">
        <v>44197</v>
      </c>
      <c r="B3" s="2">
        <f>'Tiêu thụ điện'!L3</f>
        <v>667800</v>
      </c>
      <c r="C3" s="1">
        <f>'Tiêu thụ xăng'!D2</f>
        <v>0</v>
      </c>
      <c r="D3" s="21">
        <f>'Tiêu thụ DO'!J3</f>
        <v>12330.6456</v>
      </c>
      <c r="E3" s="21">
        <f>'Tiêu thụ LPG'!D3</f>
        <v>1530</v>
      </c>
      <c r="F3" s="4">
        <f>SUM(B3:E3)</f>
        <v>681660.64560000005</v>
      </c>
      <c r="G3" s="2">
        <v>0</v>
      </c>
    </row>
    <row r="4" spans="1:8" ht="14.55" x14ac:dyDescent="0.35">
      <c r="A4" s="8">
        <v>44228</v>
      </c>
      <c r="B4" s="2">
        <f>'Tiêu thụ điện'!L4</f>
        <v>466200</v>
      </c>
      <c r="C4" s="1">
        <f>'Tiêu thụ xăng'!D3</f>
        <v>98937.673999999985</v>
      </c>
      <c r="D4" s="21">
        <f>'Tiêu thụ DO'!J4</f>
        <v>80003.271600000007</v>
      </c>
      <c r="E4" s="21">
        <f>'Tiêu thụ LPG'!D4</f>
        <v>2550</v>
      </c>
      <c r="F4" s="4">
        <f t="shared" ref="F4:F43" si="0">SUM(B4:E4)</f>
        <v>647690.94559999998</v>
      </c>
      <c r="G4" s="2">
        <v>0</v>
      </c>
    </row>
    <row r="5" spans="1:8" ht="14.55" x14ac:dyDescent="0.35">
      <c r="A5" s="8">
        <v>44256</v>
      </c>
      <c r="B5" s="2">
        <f>'Tiêu thụ điện'!L5</f>
        <v>743400</v>
      </c>
      <c r="C5" s="1">
        <f>'Tiêu thụ xăng'!D4</f>
        <v>87205.933999999994</v>
      </c>
      <c r="D5" s="21">
        <f>'Tiêu thụ DO'!J5</f>
        <v>46550.011200000001</v>
      </c>
      <c r="E5" s="21">
        <f>'Tiêu thụ LPG'!D5</f>
        <v>3060</v>
      </c>
      <c r="F5" s="4">
        <f t="shared" si="0"/>
        <v>880215.94519999996</v>
      </c>
      <c r="G5" s="2">
        <v>0</v>
      </c>
    </row>
    <row r="6" spans="1:8" ht="14.55" x14ac:dyDescent="0.35">
      <c r="A6" s="8">
        <v>44287</v>
      </c>
      <c r="B6" s="2">
        <f>'Tiêu thụ điện'!L6</f>
        <v>970200</v>
      </c>
      <c r="C6" s="1">
        <f>'Tiêu thụ xăng'!D5</f>
        <v>105781.18899999998</v>
      </c>
      <c r="D6" s="21">
        <f>'Tiêu thụ DO'!J6</f>
        <v>94559.270400000009</v>
      </c>
      <c r="E6" s="21">
        <f>'Tiêu thụ LPG'!D6</f>
        <v>2550</v>
      </c>
      <c r="F6" s="4">
        <f t="shared" si="0"/>
        <v>1173090.4594000001</v>
      </c>
      <c r="G6" s="2">
        <v>0</v>
      </c>
    </row>
    <row r="7" spans="1:8" ht="14.55" x14ac:dyDescent="0.35">
      <c r="A7" s="8">
        <v>44317</v>
      </c>
      <c r="B7" s="2">
        <f>'Tiêu thụ điện'!L7</f>
        <v>919800</v>
      </c>
      <c r="C7" s="1">
        <f>'Tiêu thụ xăng'!D6</f>
        <v>69803.852999999988</v>
      </c>
      <c r="D7" s="21">
        <f>'Tiêu thụ DO'!J7</f>
        <v>130128.44040000001</v>
      </c>
      <c r="E7" s="21">
        <f>'Tiêu thụ LPG'!D7</f>
        <v>3060</v>
      </c>
      <c r="F7" s="4">
        <f t="shared" si="0"/>
        <v>1122792.2934000001</v>
      </c>
      <c r="G7" s="2">
        <v>0</v>
      </c>
    </row>
    <row r="8" spans="1:8" ht="14.55" x14ac:dyDescent="0.35">
      <c r="A8" s="8">
        <v>44348</v>
      </c>
      <c r="B8" s="2">
        <f>'Tiêu thụ điện'!L8</f>
        <v>1398600</v>
      </c>
      <c r="C8" s="1">
        <f>'Tiêu thụ xăng'!D7</f>
        <v>91937.735799999995</v>
      </c>
      <c r="D8" s="21">
        <f>'Tiêu thụ DO'!J8</f>
        <v>122649.7944</v>
      </c>
      <c r="E8" s="21">
        <f>'Tiêu thụ LPG'!D8</f>
        <v>3570</v>
      </c>
      <c r="F8" s="4">
        <f t="shared" si="0"/>
        <v>1616757.5301999999</v>
      </c>
      <c r="G8" s="2">
        <v>0</v>
      </c>
    </row>
    <row r="9" spans="1:8" ht="14.55" x14ac:dyDescent="0.35">
      <c r="A9" s="8">
        <v>44378</v>
      </c>
      <c r="B9" s="2">
        <f>'Tiêu thụ điện'!L9</f>
        <v>1549800</v>
      </c>
      <c r="C9" s="1">
        <f>'Tiêu thụ xăng'!D8</f>
        <v>78954.610199999996</v>
      </c>
      <c r="D9" s="21">
        <f>'Tiêu thụ DO'!J9</f>
        <v>157343.41560000001</v>
      </c>
      <c r="E9" s="21">
        <f>'Tiêu thụ LPG'!D9</f>
        <v>4590</v>
      </c>
      <c r="F9" s="4">
        <f t="shared" si="0"/>
        <v>1790688.0257999999</v>
      </c>
      <c r="G9" s="2">
        <v>0</v>
      </c>
    </row>
    <row r="10" spans="1:8" ht="14.55" x14ac:dyDescent="0.35">
      <c r="A10" s="8">
        <v>44409</v>
      </c>
      <c r="B10" s="2">
        <f>'Tiêu thụ điện'!L10</f>
        <v>1688400</v>
      </c>
      <c r="C10" s="1">
        <f>'Tiêu thụ xăng'!D9</f>
        <v>56898.938999999991</v>
      </c>
      <c r="D10" s="21">
        <f>'Tiêu thụ DO'!J10</f>
        <v>172920.88800000001</v>
      </c>
      <c r="E10" s="21">
        <f>'Tiêu thụ LPG'!D10</f>
        <v>4080</v>
      </c>
      <c r="F10" s="4">
        <f t="shared" si="0"/>
        <v>1922299.827</v>
      </c>
      <c r="G10" s="2">
        <v>0</v>
      </c>
    </row>
    <row r="11" spans="1:8" ht="14.55" x14ac:dyDescent="0.35">
      <c r="A11" s="8">
        <v>44440</v>
      </c>
      <c r="B11" s="2">
        <f>'Tiêu thụ điện'!L11</f>
        <v>1387134</v>
      </c>
      <c r="C11" s="1">
        <f>'Tiêu thụ xăng'!D10</f>
        <v>41647.676999999996</v>
      </c>
      <c r="D11" s="21">
        <f>'Tiêu thụ DO'!J11</f>
        <v>99374.788800000009</v>
      </c>
      <c r="E11" s="21">
        <f>'Tiêu thụ LPG'!D11</f>
        <v>4080</v>
      </c>
      <c r="F11" s="4">
        <f t="shared" si="0"/>
        <v>1532236.4657999999</v>
      </c>
      <c r="G11" s="2">
        <v>0</v>
      </c>
    </row>
    <row r="12" spans="1:8" ht="14.55" x14ac:dyDescent="0.35">
      <c r="A12" s="8">
        <v>44470</v>
      </c>
      <c r="B12" s="2">
        <f>'Tiêu thụ điện'!L12</f>
        <v>1473318</v>
      </c>
      <c r="C12" s="1">
        <f>'Tiêu thụ xăng'!D11</f>
        <v>29524.878999999997</v>
      </c>
      <c r="D12" s="21">
        <f>'Tiêu thụ DO'!J12</f>
        <v>126407.35800000001</v>
      </c>
      <c r="E12" s="21">
        <f>'Tiêu thụ LPG'!D12</f>
        <v>4590</v>
      </c>
      <c r="F12" s="4">
        <f t="shared" si="0"/>
        <v>1633840.237</v>
      </c>
      <c r="G12" s="2">
        <v>0</v>
      </c>
    </row>
    <row r="13" spans="1:8" ht="14.55" x14ac:dyDescent="0.35">
      <c r="A13" s="8">
        <v>44501</v>
      </c>
      <c r="B13" s="2">
        <f>'Tiêu thụ điện'!L13</f>
        <v>1283212.8</v>
      </c>
      <c r="C13" s="1">
        <f>'Tiêu thụ xăng'!D12</f>
        <v>58658.69999999999</v>
      </c>
      <c r="D13" s="21">
        <f>'Tiêu thụ DO'!J13</f>
        <v>273973.81200000003</v>
      </c>
      <c r="E13" s="21">
        <f>'Tiêu thụ LPG'!D13</f>
        <v>5100</v>
      </c>
      <c r="F13" s="4">
        <f t="shared" si="0"/>
        <v>1620945.3119999999</v>
      </c>
      <c r="G13" s="2">
        <v>23289</v>
      </c>
      <c r="H13" s="1">
        <f>F13/G13</f>
        <v>69.601327321911626</v>
      </c>
    </row>
    <row r="14" spans="1:8" ht="14.55" x14ac:dyDescent="0.35">
      <c r="A14" s="8">
        <v>44531</v>
      </c>
      <c r="B14" s="2">
        <f>'Tiêu thụ điện'!L14</f>
        <v>745142.4</v>
      </c>
      <c r="C14" s="1">
        <f>'Tiêu thụ xăng'!D13</f>
        <v>55725.764999999992</v>
      </c>
      <c r="D14" s="21">
        <f>'Tiêu thụ DO'!J14</f>
        <v>357661.68479999999</v>
      </c>
      <c r="E14" s="21">
        <f>'Tiêu thụ LPG'!D14</f>
        <v>5100</v>
      </c>
      <c r="F14" s="4">
        <f t="shared" si="0"/>
        <v>1163629.8498</v>
      </c>
      <c r="G14" s="2">
        <v>27099</v>
      </c>
      <c r="H14" s="1">
        <f t="shared" ref="H14:H43" si="1">F14/G14</f>
        <v>42.939955341525518</v>
      </c>
    </row>
    <row r="15" spans="1:8" x14ac:dyDescent="0.3">
      <c r="A15" s="22" t="s">
        <v>15</v>
      </c>
      <c r="B15" s="6">
        <f>'Tiêu thụ điện'!L15</f>
        <v>13293007.200000001</v>
      </c>
      <c r="C15" s="5">
        <f>'Tiêu thụ xăng'!D14</f>
        <v>775076.95599999989</v>
      </c>
      <c r="D15" s="26">
        <f>'Tiêu thụ DO'!J15</f>
        <v>1673903.3807999999</v>
      </c>
      <c r="E15" s="26">
        <f>'Tiêu thụ LPG'!D15</f>
        <v>43860</v>
      </c>
      <c r="F15" s="4">
        <f t="shared" si="0"/>
        <v>15785847.536800001</v>
      </c>
      <c r="G15" s="10">
        <f t="shared" ref="G15" si="2">SUBTOTAL(9,G3:G14)</f>
        <v>50388</v>
      </c>
      <c r="H15" s="1">
        <f t="shared" si="1"/>
        <v>313.28585252044138</v>
      </c>
    </row>
    <row r="16" spans="1:8" ht="14.55" x14ac:dyDescent="0.35">
      <c r="A16" s="11">
        <v>44562</v>
      </c>
      <c r="B16" s="2">
        <f>'Tiêu thụ điện'!L16</f>
        <v>1602583.2</v>
      </c>
      <c r="C16" s="1">
        <f>'Tiêu thụ xăng'!D15</f>
        <v>60809.518999999993</v>
      </c>
      <c r="D16" s="21">
        <f>'Tiêu thụ DO'!J16</f>
        <v>183390.99240000002</v>
      </c>
      <c r="E16" s="21">
        <f>'Tiêu thụ LPG'!D16</f>
        <v>5100</v>
      </c>
      <c r="F16" s="4">
        <f t="shared" si="0"/>
        <v>1851883.7114000001</v>
      </c>
      <c r="G16" s="2">
        <v>88188</v>
      </c>
      <c r="H16" s="1">
        <f t="shared" si="1"/>
        <v>20.999271005125415</v>
      </c>
    </row>
    <row r="17" spans="1:8" ht="14.55" x14ac:dyDescent="0.35">
      <c r="A17" s="11">
        <v>44593</v>
      </c>
      <c r="B17" s="2">
        <f>'Tiêu thụ điện'!L17</f>
        <v>1552719.6</v>
      </c>
      <c r="C17" s="1">
        <f>'Tiêu thụ xăng'!D16</f>
        <v>57681.054999999993</v>
      </c>
      <c r="D17" s="21">
        <f>'Tiêu thụ DO'!J17</f>
        <v>107108.80320000001</v>
      </c>
      <c r="E17" s="21">
        <f>'Tiêu thụ LPG'!D17</f>
        <v>4590</v>
      </c>
      <c r="F17" s="4">
        <f t="shared" si="0"/>
        <v>1722099.4582</v>
      </c>
      <c r="G17" s="2">
        <v>93437</v>
      </c>
      <c r="H17" s="1">
        <f t="shared" si="1"/>
        <v>18.430594498967217</v>
      </c>
    </row>
    <row r="18" spans="1:8" ht="14.55" x14ac:dyDescent="0.35">
      <c r="A18" s="11">
        <v>44621</v>
      </c>
      <c r="B18" s="2">
        <f>'Tiêu thụ điện'!L18</f>
        <v>1994972.4000000001</v>
      </c>
      <c r="C18" s="1">
        <f>'Tiêu thụ xăng'!D17</f>
        <v>65736.849799999996</v>
      </c>
      <c r="D18" s="21">
        <f>'Tiêu thụ DO'!J18</f>
        <v>170367.204</v>
      </c>
      <c r="E18" s="21">
        <f>'Tiêu thụ LPG'!D18</f>
        <v>9690</v>
      </c>
      <c r="F18" s="4">
        <f t="shared" si="0"/>
        <v>2240766.4538000003</v>
      </c>
      <c r="G18" s="2">
        <v>187118</v>
      </c>
      <c r="H18" s="1">
        <f t="shared" si="1"/>
        <v>11.975151796192778</v>
      </c>
    </row>
    <row r="19" spans="1:8" ht="14.55" x14ac:dyDescent="0.35">
      <c r="A19" s="11">
        <v>44652</v>
      </c>
      <c r="B19" s="2">
        <f>'Tiêu thụ điện'!L19</f>
        <v>2857377.6</v>
      </c>
      <c r="C19" s="1">
        <f>'Tiêu thụ xăng'!D18</f>
        <v>121501.72059999999</v>
      </c>
      <c r="D19" s="21">
        <f>'Tiêu thụ DO'!J19</f>
        <v>196414.78080000001</v>
      </c>
      <c r="E19" s="21">
        <f>'Tiêu thụ LPG'!D19</f>
        <v>13387.5</v>
      </c>
      <c r="F19" s="4">
        <f t="shared" si="0"/>
        <v>3188681.6014</v>
      </c>
      <c r="G19" s="2">
        <v>308466</v>
      </c>
      <c r="H19" s="1">
        <f t="shared" si="1"/>
        <v>10.337222259179294</v>
      </c>
    </row>
    <row r="20" spans="1:8" ht="14.55" x14ac:dyDescent="0.35">
      <c r="A20" s="11">
        <v>44682</v>
      </c>
      <c r="B20" s="2">
        <f>'Tiêu thụ điện'!L20</f>
        <v>2990959.2</v>
      </c>
      <c r="C20" s="1">
        <f>'Tiêu thụ xăng'!D19</f>
        <v>167724.77619999999</v>
      </c>
      <c r="D20" s="21">
        <f>'Tiêu thụ DO'!J20</f>
        <v>197034.96120000002</v>
      </c>
      <c r="E20" s="21">
        <f>'Tiêu thụ LPG'!D20</f>
        <v>15300</v>
      </c>
      <c r="F20" s="4">
        <f t="shared" si="0"/>
        <v>3371018.9374000002</v>
      </c>
      <c r="G20" s="2">
        <v>351801</v>
      </c>
      <c r="H20" s="1">
        <f t="shared" si="1"/>
        <v>9.5821755407176212</v>
      </c>
    </row>
    <row r="21" spans="1:8" ht="14.55" x14ac:dyDescent="0.35">
      <c r="A21" s="11">
        <v>44713</v>
      </c>
      <c r="B21" s="2">
        <f>'Tiêu thụ điện'!L21</f>
        <v>4306957.2</v>
      </c>
      <c r="C21" s="1">
        <f>'Tiêu thụ xăng'!D20</f>
        <v>210271.88659999997</v>
      </c>
      <c r="D21" s="21">
        <f>'Tiêu thụ DO'!J21</f>
        <v>202178.81040000002</v>
      </c>
      <c r="E21" s="21">
        <f>'Tiêu thụ LPG'!D21</f>
        <v>11475</v>
      </c>
      <c r="F21" s="4">
        <f t="shared" si="0"/>
        <v>4730882.8969999999</v>
      </c>
      <c r="G21" s="2">
        <v>453767</v>
      </c>
      <c r="H21" s="1">
        <f t="shared" si="1"/>
        <v>10.4257975943601</v>
      </c>
    </row>
    <row r="22" spans="1:8" ht="14.55" x14ac:dyDescent="0.35">
      <c r="A22" s="11">
        <v>44743</v>
      </c>
      <c r="B22" s="2">
        <f>'Tiêu thụ điện'!L22</f>
        <v>4594867.2</v>
      </c>
      <c r="C22" s="1">
        <f>'Tiêu thụ xăng'!D21</f>
        <v>183406.20199999999</v>
      </c>
      <c r="D22" s="21">
        <f>'Tiêu thụ DO'!J22</f>
        <v>267626.08319999999</v>
      </c>
      <c r="E22" s="21">
        <f>'Tiêu thụ LPG'!D22</f>
        <v>19125</v>
      </c>
      <c r="F22" s="4">
        <f t="shared" si="0"/>
        <v>5065024.4852</v>
      </c>
      <c r="G22" s="2">
        <v>550573</v>
      </c>
      <c r="H22" s="1">
        <f t="shared" si="1"/>
        <v>9.1995511679650104</v>
      </c>
    </row>
    <row r="23" spans="1:8" ht="14.55" x14ac:dyDescent="0.35">
      <c r="A23" s="11">
        <v>44774</v>
      </c>
      <c r="B23" s="2">
        <f>'Tiêu thụ điện'!L23</f>
        <v>4913035.2</v>
      </c>
      <c r="C23" s="1">
        <f>'Tiêu thụ xăng'!D22</f>
        <v>246953.12699999998</v>
      </c>
      <c r="D23" s="21">
        <f>'Tiêu thụ DO'!J23</f>
        <v>321180.48480000003</v>
      </c>
      <c r="E23" s="21">
        <f>'Tiêu thụ LPG'!D23</f>
        <v>19125</v>
      </c>
      <c r="F23" s="4">
        <f t="shared" si="0"/>
        <v>5500293.8118000003</v>
      </c>
      <c r="G23" s="2">
        <v>700152</v>
      </c>
      <c r="H23" s="1">
        <f t="shared" si="1"/>
        <v>7.8558567451067773</v>
      </c>
    </row>
    <row r="24" spans="1:8" ht="14.55" x14ac:dyDescent="0.35">
      <c r="A24" s="11">
        <v>44805</v>
      </c>
      <c r="B24" s="2">
        <f>'Tiêu thụ điện'!L24</f>
        <v>4923676.8</v>
      </c>
      <c r="C24" s="1">
        <f>'Tiêu thụ xăng'!D23</f>
        <v>207026.10519999996</v>
      </c>
      <c r="D24" s="21">
        <f>'Tiêu thụ DO'!J24</f>
        <v>341391.06959999999</v>
      </c>
      <c r="E24" s="21">
        <f>'Tiêu thụ LPG'!D24</f>
        <v>19762.5</v>
      </c>
      <c r="F24" s="4">
        <f t="shared" si="0"/>
        <v>5491856.4748</v>
      </c>
      <c r="G24" s="2">
        <v>567211</v>
      </c>
      <c r="H24" s="1">
        <f t="shared" si="1"/>
        <v>9.6822108083235339</v>
      </c>
    </row>
    <row r="25" spans="1:8" ht="14.55" x14ac:dyDescent="0.35">
      <c r="A25" s="11">
        <v>44835</v>
      </c>
      <c r="B25" s="2">
        <f>'Tiêu thụ điện'!L25</f>
        <v>5750892</v>
      </c>
      <c r="C25" s="1">
        <f>'Tiêu thụ xăng'!D24</f>
        <v>172964.95339999997</v>
      </c>
      <c r="D25" s="21">
        <f>'Tiêu thụ DO'!J25</f>
        <v>340041.26520000002</v>
      </c>
      <c r="E25" s="21">
        <f>'Tiêu thụ LPG'!D25</f>
        <v>14535</v>
      </c>
      <c r="F25" s="4">
        <f t="shared" si="0"/>
        <v>6278433.2186000003</v>
      </c>
      <c r="G25" s="2">
        <v>701525</v>
      </c>
      <c r="H25" s="1">
        <f t="shared" si="1"/>
        <v>8.9496927673283206</v>
      </c>
    </row>
    <row r="26" spans="1:8" ht="14.55" x14ac:dyDescent="0.35">
      <c r="A26" s="11">
        <v>44866</v>
      </c>
      <c r="B26" s="2">
        <f>'Tiêu thụ điện'!L26</f>
        <v>4426884</v>
      </c>
      <c r="C26" s="1">
        <f>'Tiêu thụ xăng'!D25</f>
        <v>143909.34399999998</v>
      </c>
      <c r="D26" s="21">
        <f>'Tiêu thụ DO'!J26</f>
        <v>288201.48</v>
      </c>
      <c r="E26" s="21">
        <f>'Tiêu thụ LPG'!D26</f>
        <v>13515</v>
      </c>
      <c r="F26" s="4">
        <f t="shared" si="0"/>
        <v>4872509.8239999991</v>
      </c>
      <c r="G26" s="2">
        <v>660274</v>
      </c>
      <c r="H26" s="1">
        <f t="shared" si="1"/>
        <v>7.3795270206005368</v>
      </c>
    </row>
    <row r="27" spans="1:8" ht="14.55" x14ac:dyDescent="0.35">
      <c r="A27" s="11">
        <v>44896</v>
      </c>
      <c r="B27" s="2">
        <f>'Tiêu thụ điện'!L27</f>
        <v>3793608</v>
      </c>
      <c r="C27" s="1">
        <f>'Tiêu thụ xăng'!D26</f>
        <v>234204.63619999998</v>
      </c>
      <c r="D27" s="21">
        <f>'Tiêu thụ DO'!J27</f>
        <v>456452.77439999999</v>
      </c>
      <c r="E27" s="21">
        <f>'Tiêu thụ LPG'!D27</f>
        <v>20655</v>
      </c>
      <c r="F27" s="4">
        <f t="shared" si="0"/>
        <v>4504920.4106000001</v>
      </c>
      <c r="G27" s="2">
        <v>657397</v>
      </c>
      <c r="H27" s="1">
        <f t="shared" si="1"/>
        <v>6.8526634751907904</v>
      </c>
    </row>
    <row r="28" spans="1:8" x14ac:dyDescent="0.3">
      <c r="A28" s="23" t="s">
        <v>15</v>
      </c>
      <c r="B28" s="6">
        <f>'Tiêu thụ điện'!L28</f>
        <v>43708532.399999999</v>
      </c>
      <c r="C28" s="5">
        <f>'Tiêu thụ xăng'!D27</f>
        <v>1872190.175</v>
      </c>
      <c r="D28" s="26">
        <f>'Tiêu thụ DO'!J28</f>
        <v>3071388.7092000004</v>
      </c>
      <c r="E28" s="26">
        <f>'Tiêu thụ LPG'!D28</f>
        <v>166260</v>
      </c>
      <c r="F28" s="4">
        <f t="shared" si="0"/>
        <v>48818371.284199998</v>
      </c>
      <c r="G28" s="13">
        <f t="shared" ref="G28" si="3">SUBTOTAL(9,G16:G27)</f>
        <v>5319909</v>
      </c>
      <c r="H28" s="1">
        <f t="shared" si="1"/>
        <v>9.1765425469119855</v>
      </c>
    </row>
    <row r="29" spans="1:8" ht="14.55" x14ac:dyDescent="0.35">
      <c r="A29" s="14">
        <v>44927</v>
      </c>
      <c r="B29" s="2">
        <f>'Tiêu thụ điện'!L29</f>
        <v>2112012</v>
      </c>
      <c r="C29" s="1">
        <f>'Tiêu thụ xăng'!D28</f>
        <v>117512.92899999999</v>
      </c>
      <c r="D29" s="21">
        <f>'Tiêu thụ DO'!J29</f>
        <v>237893.90520000001</v>
      </c>
      <c r="E29" s="21">
        <f>'Tiêu thụ LPG'!D29</f>
        <v>14875</v>
      </c>
      <c r="F29" s="4">
        <f t="shared" si="0"/>
        <v>2482293.8341999999</v>
      </c>
      <c r="G29" s="2">
        <v>442109</v>
      </c>
      <c r="H29" s="1">
        <f t="shared" si="1"/>
        <v>5.6146647867381123</v>
      </c>
    </row>
    <row r="30" spans="1:8" ht="14.55" x14ac:dyDescent="0.35">
      <c r="A30" s="14">
        <v>44958</v>
      </c>
      <c r="B30" s="2">
        <f>'Tiêu thụ điện'!L30</f>
        <v>3130848</v>
      </c>
      <c r="C30" s="1">
        <f>'Tiêu thụ xăng'!D29</f>
        <v>216020.43919999996</v>
      </c>
      <c r="D30" s="21">
        <f>'Tiêu thụ DO'!J30</f>
        <v>331650.58919999999</v>
      </c>
      <c r="E30" s="21">
        <f>'Tiêu thụ LPG'!D30</f>
        <v>13387.5</v>
      </c>
      <c r="F30" s="4">
        <f t="shared" si="0"/>
        <v>3691906.5283999997</v>
      </c>
      <c r="G30" s="2">
        <v>621191</v>
      </c>
      <c r="H30" s="1">
        <f t="shared" si="1"/>
        <v>5.9432711169350485</v>
      </c>
    </row>
    <row r="31" spans="1:8" ht="14.55" x14ac:dyDescent="0.35">
      <c r="A31" s="14">
        <v>44986</v>
      </c>
      <c r="B31" s="2">
        <f>'Tiêu thụ điện'!L31</f>
        <v>4077511.2</v>
      </c>
      <c r="C31" s="1">
        <f>'Tiêu thụ xăng'!D30</f>
        <v>214377.99559999997</v>
      </c>
      <c r="D31" s="21">
        <f>'Tiêu thụ DO'!J31</f>
        <v>358610.196</v>
      </c>
      <c r="E31" s="21">
        <f>'Tiêu thụ LPG'!D31</f>
        <v>17212.5</v>
      </c>
      <c r="F31" s="4">
        <f t="shared" si="0"/>
        <v>4667711.8915999997</v>
      </c>
      <c r="G31" s="2">
        <v>780207</v>
      </c>
      <c r="H31" s="1">
        <f t="shared" si="1"/>
        <v>5.9826583093973777</v>
      </c>
    </row>
    <row r="32" spans="1:8" ht="14.55" x14ac:dyDescent="0.35">
      <c r="A32" s="14">
        <v>45017</v>
      </c>
      <c r="B32" s="2">
        <f>'Tiêu thụ điện'!L32</f>
        <v>4423572</v>
      </c>
      <c r="C32" s="1">
        <f>'Tiêu thụ xăng'!D31</f>
        <v>206126.67179999998</v>
      </c>
      <c r="D32" s="21">
        <f>'Tiêu thụ DO'!J32</f>
        <v>327637.65720000002</v>
      </c>
      <c r="E32" s="21">
        <f>'Tiêu thụ LPG'!D32</f>
        <v>15300</v>
      </c>
      <c r="F32" s="4">
        <f t="shared" si="0"/>
        <v>4972636.3289999999</v>
      </c>
      <c r="G32" s="2">
        <v>800208</v>
      </c>
      <c r="H32" s="1">
        <f t="shared" si="1"/>
        <v>6.2141797245216246</v>
      </c>
    </row>
    <row r="33" spans="1:8" ht="14.55" x14ac:dyDescent="0.35">
      <c r="A33" s="14">
        <v>45047</v>
      </c>
      <c r="B33" s="2">
        <f>'Tiêu thụ điện'!L33</f>
        <v>4175136</v>
      </c>
      <c r="C33" s="1">
        <f>'Tiêu thụ xăng'!D32</f>
        <v>204953.49779999998</v>
      </c>
      <c r="D33" s="21">
        <f>'Tiêu thụ DO'!J33</f>
        <v>236690.02559999999</v>
      </c>
      <c r="E33" s="21">
        <f>'Tiêu thụ LPG'!D33</f>
        <v>17212.5</v>
      </c>
      <c r="F33" s="4">
        <f t="shared" si="0"/>
        <v>4633992.0234000003</v>
      </c>
      <c r="G33" s="2">
        <v>860646</v>
      </c>
      <c r="H33" s="1">
        <f t="shared" si="1"/>
        <v>5.3843183183329737</v>
      </c>
    </row>
    <row r="34" spans="1:8" ht="14.55" x14ac:dyDescent="0.35">
      <c r="A34" s="14">
        <v>45078</v>
      </c>
      <c r="B34" s="2">
        <f>'Tiêu thụ điện'!L34</f>
        <v>3556224</v>
      </c>
      <c r="C34" s="1">
        <f>'Tiêu thụ xăng'!D33</f>
        <v>212266.28239999997</v>
      </c>
      <c r="D34" s="21">
        <f>'Tiêu thụ DO'!J34</f>
        <v>1978193.07</v>
      </c>
      <c r="E34" s="21">
        <f>'Tiêu thụ LPG'!D34</f>
        <v>17212.5</v>
      </c>
      <c r="F34" s="4">
        <f t="shared" si="0"/>
        <v>5763895.8524000002</v>
      </c>
      <c r="G34" s="2">
        <v>800166</v>
      </c>
      <c r="H34" s="1">
        <f t="shared" si="1"/>
        <v>7.2033751151636034</v>
      </c>
    </row>
    <row r="35" spans="1:8" ht="14.55" x14ac:dyDescent="0.35">
      <c r="A35" s="14">
        <v>45108</v>
      </c>
      <c r="B35" s="2">
        <f>'Tiêu thụ điện'!L35</f>
        <v>3958668</v>
      </c>
      <c r="C35" s="1">
        <f>'Tiêu thụ xăng'!D34</f>
        <v>176159.50620199996</v>
      </c>
      <c r="D35" s="21">
        <f>'Tiêu thụ DO'!J35</f>
        <v>214327.05000000002</v>
      </c>
      <c r="E35" s="21">
        <f>'Tiêu thụ LPG'!D35</f>
        <v>15300</v>
      </c>
      <c r="F35" s="4">
        <f t="shared" si="0"/>
        <v>4364454.556202</v>
      </c>
      <c r="G35" s="2">
        <v>766156</v>
      </c>
      <c r="H35" s="1">
        <f t="shared" si="1"/>
        <v>5.6965612175614364</v>
      </c>
    </row>
    <row r="36" spans="1:8" ht="14.55" x14ac:dyDescent="0.35">
      <c r="A36" s="14">
        <v>45139</v>
      </c>
      <c r="B36" s="2">
        <f>'Tiêu thụ điện'!L36</f>
        <v>5079816</v>
      </c>
      <c r="C36" s="1">
        <f>'Tiêu thụ xăng'!D35</f>
        <v>218953.37419999996</v>
      </c>
      <c r="D36" s="21">
        <f>'Tiêu thụ DO'!J36</f>
        <v>350620.81320000003</v>
      </c>
      <c r="E36" s="21">
        <f>'Tiêu thụ LPG'!D36</f>
        <v>15300</v>
      </c>
      <c r="F36" s="4">
        <f t="shared" si="0"/>
        <v>5664690.1873999992</v>
      </c>
      <c r="G36" s="2">
        <v>840154</v>
      </c>
      <c r="H36" s="1">
        <f t="shared" si="1"/>
        <v>6.742442680032469</v>
      </c>
    </row>
    <row r="37" spans="1:8" ht="14.55" x14ac:dyDescent="0.35">
      <c r="A37" s="14">
        <v>45170</v>
      </c>
      <c r="B37" s="2">
        <f>'Tiêu thụ điện'!L37</f>
        <v>4695933.6000000006</v>
      </c>
      <c r="C37" s="1">
        <f>'Tiêu thụ xăng'!D36</f>
        <v>246796.70379999996</v>
      </c>
      <c r="D37" s="21">
        <f>'Tiêu thụ DO'!J37</f>
        <v>412967.18400000001</v>
      </c>
      <c r="E37" s="21">
        <f>'Tiêu thụ LPG'!D37</f>
        <v>13387.5</v>
      </c>
      <c r="F37" s="4">
        <f t="shared" si="0"/>
        <v>5369084.9878000012</v>
      </c>
      <c r="G37" s="2">
        <v>740042</v>
      </c>
      <c r="H37" s="1">
        <f t="shared" si="1"/>
        <v>7.2551084773566918</v>
      </c>
    </row>
    <row r="38" spans="1:8" ht="14.55" x14ac:dyDescent="0.35">
      <c r="A38" s="14">
        <v>45200</v>
      </c>
      <c r="B38" s="2">
        <f>'Tiêu thụ điện'!L38</f>
        <v>4643326.8</v>
      </c>
      <c r="C38" s="1">
        <f>'Tiêu thụ xăng'!D37</f>
        <v>205305.44999999998</v>
      </c>
      <c r="D38" s="21">
        <f>'Tiêu thụ DO'!J38</f>
        <v>348176.57280000002</v>
      </c>
      <c r="E38" s="21">
        <f>'Tiêu thụ LPG'!D38</f>
        <v>13387.5</v>
      </c>
      <c r="F38" s="4">
        <f t="shared" si="0"/>
        <v>5210196.3228000002</v>
      </c>
      <c r="G38" s="2">
        <v>860065</v>
      </c>
      <c r="H38" s="1">
        <f t="shared" si="1"/>
        <v>6.0579099519222384</v>
      </c>
    </row>
    <row r="39" spans="1:8" ht="14.55" x14ac:dyDescent="0.35">
      <c r="A39" s="14">
        <v>45231</v>
      </c>
      <c r="B39" s="2">
        <f>'Tiêu thụ điện'!L39</f>
        <v>5007744</v>
      </c>
      <c r="C39" s="1">
        <f>'Tiêu thụ xăng'!D38</f>
        <v>226187.94719999997</v>
      </c>
      <c r="D39" s="21">
        <f>'Tiêu thụ DO'!J39</f>
        <v>516026.57400000002</v>
      </c>
      <c r="E39" s="21">
        <f>'Tiêu thụ LPG'!D39</f>
        <v>15810</v>
      </c>
      <c r="F39" s="4">
        <f t="shared" si="0"/>
        <v>5765768.5212000003</v>
      </c>
      <c r="G39" s="2">
        <v>901232</v>
      </c>
      <c r="H39" s="1">
        <f t="shared" si="1"/>
        <v>6.3976517935448367</v>
      </c>
    </row>
    <row r="40" spans="1:8" ht="14.55" x14ac:dyDescent="0.35">
      <c r="A40" s="14">
        <v>45261</v>
      </c>
      <c r="B40" s="2">
        <f>'Tiêu thụ điện'!L40</f>
        <v>4948272</v>
      </c>
      <c r="C40" s="1">
        <f>'Tiêu thụ xăng'!D39</f>
        <v>222355.57879999996</v>
      </c>
      <c r="D40" s="21">
        <f>'Tiêu thụ DO'!J40</f>
        <v>425334.31080000004</v>
      </c>
      <c r="E40" s="21">
        <f>'Tiêu thụ LPG'!D40</f>
        <v>15300</v>
      </c>
      <c r="F40" s="4">
        <f t="shared" si="0"/>
        <v>5611261.8896000003</v>
      </c>
      <c r="G40" s="2">
        <v>1020188</v>
      </c>
      <c r="H40" s="1">
        <f t="shared" si="1"/>
        <v>5.5002233800044698</v>
      </c>
    </row>
    <row r="41" spans="1:8" x14ac:dyDescent="0.3">
      <c r="A41" s="24" t="s">
        <v>15</v>
      </c>
      <c r="B41" s="6">
        <f>'Tiêu thụ điện'!L41</f>
        <v>49809063.599999994</v>
      </c>
      <c r="C41" s="5">
        <f>'Tiêu thụ xăng'!D40</f>
        <v>2467016.3760019997</v>
      </c>
      <c r="D41" s="26">
        <f>'Tiêu thụ DO'!J41</f>
        <v>5738127.9480000008</v>
      </c>
      <c r="E41" s="26">
        <f>'Tiêu thụ LPG'!D41</f>
        <v>183685</v>
      </c>
      <c r="F41" s="4">
        <f t="shared" si="0"/>
        <v>58197892.924001992</v>
      </c>
      <c r="G41" s="16">
        <f t="shared" ref="G41" si="4">SUBTOTAL(9,G29:G40)</f>
        <v>9432364</v>
      </c>
      <c r="H41" s="1">
        <f t="shared" si="1"/>
        <v>6.1700219503829574</v>
      </c>
    </row>
    <row r="42" spans="1:8" ht="14.55" x14ac:dyDescent="0.35">
      <c r="A42" s="17">
        <v>45292</v>
      </c>
      <c r="B42" s="2">
        <f>'Tiêu thụ điện'!L43</f>
        <v>4689720</v>
      </c>
      <c r="C42" s="1">
        <f>'Tiêu thụ xăng'!D41</f>
        <v>167059.97759999998</v>
      </c>
      <c r="D42" s="21">
        <f>'Tiêu thụ DO'!J42</f>
        <v>399323.21520000004</v>
      </c>
      <c r="E42" s="21">
        <f>'Tiêu thụ LPG'!D42</f>
        <v>16320</v>
      </c>
      <c r="F42" s="4">
        <f t="shared" si="0"/>
        <v>5272423.1928000003</v>
      </c>
      <c r="G42" s="2">
        <v>1151428</v>
      </c>
      <c r="H42" s="1">
        <f t="shared" si="1"/>
        <v>4.5790298592704017</v>
      </c>
    </row>
    <row r="43" spans="1:8" ht="14.55" x14ac:dyDescent="0.35">
      <c r="A43" s="17">
        <v>45323</v>
      </c>
      <c r="B43" s="2">
        <f>'Tiêu thụ điện'!L44</f>
        <v>3330936</v>
      </c>
      <c r="C43" s="1">
        <f>'Tiêu thụ xăng'!D42</f>
        <v>173160.48239999998</v>
      </c>
      <c r="D43" s="21">
        <f>'Tiêu thụ DO'!J43</f>
        <v>242672.9424</v>
      </c>
      <c r="E43" s="21">
        <f>'Tiêu thụ LPG'!D43</f>
        <v>10072.5</v>
      </c>
      <c r="F43" s="4">
        <f t="shared" si="0"/>
        <v>3756841.9248000002</v>
      </c>
      <c r="G43" s="2">
        <v>690499</v>
      </c>
      <c r="H43" s="1">
        <f t="shared" si="1"/>
        <v>5.4407637444804413</v>
      </c>
    </row>
    <row r="45" spans="1:8" ht="14.55" x14ac:dyDescent="0.35">
      <c r="E45">
        <v>3.6</v>
      </c>
      <c r="F45">
        <v>24137636.940000001</v>
      </c>
    </row>
    <row r="46" spans="1:8" ht="14.55" x14ac:dyDescent="0.35">
      <c r="F46" s="49">
        <f>F45/F41</f>
        <v>0.4147510455665509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6"/>
  <sheetViews>
    <sheetView topLeftCell="A34" workbookViewId="0">
      <selection activeCell="G46" sqref="G46"/>
    </sheetView>
  </sheetViews>
  <sheetFormatPr defaultRowHeight="14.4" x14ac:dyDescent="0.3"/>
  <cols>
    <col min="1" max="1" width="13.77734375" bestFit="1" customWidth="1"/>
    <col min="2" max="2" width="14.77734375" bestFit="1" customWidth="1"/>
    <col min="3" max="4" width="16.33203125" bestFit="1" customWidth="1"/>
    <col min="5" max="6" width="14.77734375" bestFit="1" customWidth="1"/>
    <col min="7" max="7" width="11.88671875" bestFit="1" customWidth="1"/>
    <col min="8" max="8" width="8.77734375" style="1"/>
  </cols>
  <sheetData>
    <row r="2" spans="1:8" x14ac:dyDescent="0.3">
      <c r="B2" t="s">
        <v>25</v>
      </c>
      <c r="C2" t="s">
        <v>26</v>
      </c>
      <c r="D2" t="s">
        <v>27</v>
      </c>
      <c r="E2" t="s">
        <v>28</v>
      </c>
      <c r="F2" t="s">
        <v>29</v>
      </c>
      <c r="G2" s="2" t="s">
        <v>7</v>
      </c>
      <c r="H2" s="1" t="s">
        <v>30</v>
      </c>
    </row>
    <row r="3" spans="1:8" ht="14.55" x14ac:dyDescent="0.35">
      <c r="A3" s="8">
        <v>44197</v>
      </c>
      <c r="B3" s="2">
        <f>'Tiêu thụ điện'!I3</f>
        <v>355624500</v>
      </c>
      <c r="C3" s="1">
        <f>'Tiêu thụ xăng'!C2</f>
        <v>0</v>
      </c>
      <c r="D3" s="21">
        <f>'Tiêu thụ DO'!I3</f>
        <v>5742000</v>
      </c>
      <c r="E3" s="21">
        <f>'Tiêu thụ LPG'!C3</f>
        <v>1020000</v>
      </c>
      <c r="F3" s="4">
        <f>SUM(B3:E3)</f>
        <v>362386500</v>
      </c>
      <c r="G3" s="2">
        <v>0</v>
      </c>
    </row>
    <row r="4" spans="1:8" ht="14.55" x14ac:dyDescent="0.35">
      <c r="A4" s="8">
        <v>44228</v>
      </c>
      <c r="B4" s="2">
        <f>'Tiêu thụ điện'!I4</f>
        <v>240908500</v>
      </c>
      <c r="C4" s="1">
        <f>'Tiêu thụ xăng'!C3</f>
        <v>43007371</v>
      </c>
      <c r="D4" s="21">
        <f>'Tiêu thụ DO'!I4</f>
        <v>37227769</v>
      </c>
      <c r="E4" s="21">
        <f>'Tiêu thụ LPG'!C4</f>
        <v>1830000</v>
      </c>
      <c r="F4" s="4">
        <f t="shared" ref="F4:F43" si="0">SUM(B4:E4)</f>
        <v>322973640</v>
      </c>
      <c r="G4" s="2">
        <v>0</v>
      </c>
    </row>
    <row r="5" spans="1:8" ht="14.55" x14ac:dyDescent="0.35">
      <c r="A5" s="8">
        <v>44256</v>
      </c>
      <c r="B5" s="2">
        <f>'Tiêu thụ điện'!I5</f>
        <v>395573500</v>
      </c>
      <c r="C5" s="1">
        <f>'Tiêu thụ xăng'!C4</f>
        <v>32183500</v>
      </c>
      <c r="D5" s="21">
        <f>'Tiêu thụ DO'!I5</f>
        <v>24289815</v>
      </c>
      <c r="E5" s="21">
        <f>'Tiêu thụ LPG'!C5</f>
        <v>2220000</v>
      </c>
      <c r="F5" s="4">
        <f t="shared" si="0"/>
        <v>454266815</v>
      </c>
      <c r="G5" s="2">
        <v>0</v>
      </c>
    </row>
    <row r="6" spans="1:8" ht="14.55" x14ac:dyDescent="0.35">
      <c r="A6" s="8">
        <v>44287</v>
      </c>
      <c r="B6" s="2">
        <f>'Tiêu thụ điện'!I6</f>
        <v>525780500</v>
      </c>
      <c r="C6" s="1">
        <f>'Tiêu thụ xăng'!C5</f>
        <v>39140600</v>
      </c>
      <c r="D6" s="21">
        <f>'Tiêu thụ DO'!I6</f>
        <v>44023450</v>
      </c>
      <c r="E6" s="21">
        <f>'Tiêu thụ LPG'!C6</f>
        <v>1840000</v>
      </c>
      <c r="F6" s="4">
        <f t="shared" si="0"/>
        <v>610784550</v>
      </c>
      <c r="G6" s="2">
        <v>0</v>
      </c>
    </row>
    <row r="7" spans="1:8" ht="14.55" x14ac:dyDescent="0.35">
      <c r="A7" s="8">
        <v>44317</v>
      </c>
      <c r="B7" s="2">
        <f>'Tiêu thụ điện'!I7</f>
        <v>504010500</v>
      </c>
      <c r="C7" s="1">
        <f>'Tiêu thụ xăng'!C6</f>
        <v>32097100</v>
      </c>
      <c r="D7" s="21">
        <f>'Tiêu thụ DO'!I7</f>
        <v>51141200</v>
      </c>
      <c r="E7" s="21">
        <f>'Tiêu thụ LPG'!C7</f>
        <v>2070000</v>
      </c>
      <c r="F7" s="4">
        <f t="shared" si="0"/>
        <v>589318800</v>
      </c>
      <c r="G7" s="2">
        <v>0</v>
      </c>
    </row>
    <row r="8" spans="1:8" ht="14.55" x14ac:dyDescent="0.35">
      <c r="A8" s="8">
        <v>44348</v>
      </c>
      <c r="B8" s="2">
        <f>'Tiêu thụ điện'!I8</f>
        <v>766867500</v>
      </c>
      <c r="C8" s="1">
        <f>'Tiêu thụ xăng'!C7</f>
        <v>44872431</v>
      </c>
      <c r="D8" s="21">
        <f>'Tiêu thụ DO'!I8</f>
        <v>51372920</v>
      </c>
      <c r="E8" s="21">
        <f>'Tiêu thụ LPG'!C8</f>
        <v>2700000</v>
      </c>
      <c r="F8" s="4">
        <f t="shared" si="0"/>
        <v>865812851</v>
      </c>
      <c r="G8" s="2">
        <v>0</v>
      </c>
    </row>
    <row r="9" spans="1:8" ht="14.55" x14ac:dyDescent="0.35">
      <c r="A9" s="8">
        <v>44378</v>
      </c>
      <c r="B9" s="2">
        <f>'Tiêu thụ điện'!I9</f>
        <v>847913500</v>
      </c>
      <c r="C9" s="1">
        <f>'Tiêu thụ xăng'!C8</f>
        <v>41975651</v>
      </c>
      <c r="D9" s="21">
        <f>'Tiêu thụ DO'!I9</f>
        <v>69452248</v>
      </c>
      <c r="E9" s="21">
        <f>'Tiêu thụ LPG'!C9</f>
        <v>3600000</v>
      </c>
      <c r="F9" s="4">
        <f t="shared" si="0"/>
        <v>962941399</v>
      </c>
      <c r="G9" s="2">
        <v>0</v>
      </c>
    </row>
    <row r="10" spans="1:8" ht="14.55" x14ac:dyDescent="0.35">
      <c r="A10" s="8">
        <v>44409</v>
      </c>
      <c r="B10" s="2">
        <f>'Tiêu thụ điện'!I10</f>
        <v>930811000</v>
      </c>
      <c r="C10" s="1">
        <f>'Tiêu thụ xăng'!C9</f>
        <v>27838500</v>
      </c>
      <c r="D10" s="21">
        <f>'Tiêu thụ DO'!I10</f>
        <v>77409525</v>
      </c>
      <c r="E10" s="21">
        <f>'Tiêu thụ LPG'!C10</f>
        <v>3080000</v>
      </c>
      <c r="F10" s="4">
        <f t="shared" si="0"/>
        <v>1039139025</v>
      </c>
      <c r="G10" s="2">
        <v>0</v>
      </c>
    </row>
    <row r="11" spans="1:8" ht="14.55" x14ac:dyDescent="0.35">
      <c r="A11" s="8">
        <v>44440</v>
      </c>
      <c r="B11" s="2">
        <f>'Tiêu thụ điện'!I11</f>
        <v>737433445</v>
      </c>
      <c r="C11" s="1">
        <f>'Tiêu thụ xăng'!C10</f>
        <v>23115450</v>
      </c>
      <c r="D11" s="21">
        <f>'Tiêu thụ DO'!I11</f>
        <v>44354760</v>
      </c>
      <c r="E11" s="21">
        <f>'Tiêu thụ LPG'!C11</f>
        <v>3276000</v>
      </c>
      <c r="F11" s="4">
        <f t="shared" si="0"/>
        <v>808179655</v>
      </c>
      <c r="G11" s="2">
        <v>0</v>
      </c>
    </row>
    <row r="12" spans="1:8" ht="14.55" x14ac:dyDescent="0.35">
      <c r="A12" s="8">
        <v>44470</v>
      </c>
      <c r="B12" s="2">
        <f>'Tiêu thụ điện'!I12</f>
        <v>778762285</v>
      </c>
      <c r="C12" s="1">
        <f>'Tiêu thụ xăng'!C11</f>
        <v>28177334</v>
      </c>
      <c r="D12" s="21">
        <f>'Tiêu thụ DO'!I12</f>
        <v>58882136</v>
      </c>
      <c r="E12" s="21">
        <f>'Tiêu thụ LPG'!C12</f>
        <v>3874500</v>
      </c>
      <c r="F12" s="4">
        <f t="shared" si="0"/>
        <v>869696255</v>
      </c>
      <c r="G12" s="2">
        <v>0</v>
      </c>
    </row>
    <row r="13" spans="1:8" ht="14.55" x14ac:dyDescent="0.35">
      <c r="A13" s="8">
        <v>44501</v>
      </c>
      <c r="B13" s="2">
        <f>'Tiêu thụ điện'!I13</f>
        <v>682691156</v>
      </c>
      <c r="C13" s="1">
        <f>'Tiêu thụ xăng'!C12</f>
        <v>37692000</v>
      </c>
      <c r="D13" s="21">
        <f>'Tiêu thụ DO'!I13</f>
        <v>133481945.45454545</v>
      </c>
      <c r="E13" s="21">
        <f>'Tiêu thụ LPG'!C13</f>
        <v>4410000</v>
      </c>
      <c r="F13" s="4">
        <f t="shared" si="0"/>
        <v>858275101.4545455</v>
      </c>
      <c r="G13" s="2">
        <v>23289</v>
      </c>
      <c r="H13" s="1">
        <f>F13/G13</f>
        <v>36853.239789366031</v>
      </c>
    </row>
    <row r="14" spans="1:8" ht="14.55" x14ac:dyDescent="0.35">
      <c r="A14" s="8">
        <v>44531</v>
      </c>
      <c r="B14" s="2">
        <f>'Tiêu thụ điện'!I14</f>
        <v>395679676</v>
      </c>
      <c r="C14" s="1">
        <f>'Tiêu thụ xăng'!C13</f>
        <v>30959319</v>
      </c>
      <c r="D14" s="21">
        <f>'Tiêu thụ DO'!I14</f>
        <v>165553225</v>
      </c>
      <c r="E14" s="21">
        <f>'Tiêu thụ LPG'!C14</f>
        <v>5166000</v>
      </c>
      <c r="F14" s="4">
        <f t="shared" si="0"/>
        <v>597358220</v>
      </c>
      <c r="G14" s="2">
        <v>27099</v>
      </c>
      <c r="H14" s="1">
        <f t="shared" ref="H14:H43" si="1">F14/G14</f>
        <v>22043.552160596333</v>
      </c>
    </row>
    <row r="15" spans="1:8" x14ac:dyDescent="0.3">
      <c r="A15" s="22" t="s">
        <v>15</v>
      </c>
      <c r="B15" s="6">
        <f>'Tiêu thụ điện'!I15</f>
        <v>7162056062</v>
      </c>
      <c r="C15" s="5">
        <f>'Tiêu thụ xăng'!C14</f>
        <v>381059256</v>
      </c>
      <c r="D15" s="26">
        <f>'Tiêu thụ DO'!I15</f>
        <v>762930993.4545455</v>
      </c>
      <c r="E15" s="26">
        <f>'Tiêu thụ LPG'!C15</f>
        <v>35086500</v>
      </c>
      <c r="F15" s="4">
        <f t="shared" si="0"/>
        <v>8341132811.454546</v>
      </c>
      <c r="G15" s="10">
        <f t="shared" ref="G15" si="2">SUBTOTAL(9,G3:G14)</f>
        <v>50388</v>
      </c>
    </row>
    <row r="16" spans="1:8" ht="14.55" x14ac:dyDescent="0.35">
      <c r="A16" s="11">
        <v>44562</v>
      </c>
      <c r="B16" s="2">
        <f>'Tiêu thụ điện'!I16</f>
        <v>850715030</v>
      </c>
      <c r="C16" s="1">
        <f>'Tiêu thụ xăng'!C15</f>
        <v>37401850</v>
      </c>
      <c r="D16" s="21">
        <f>'Tiêu thụ DO'!I16</f>
        <v>90870232</v>
      </c>
      <c r="E16" s="21">
        <f>'Tiêu thụ LPG'!C16</f>
        <v>4200000</v>
      </c>
      <c r="F16" s="4">
        <f t="shared" si="0"/>
        <v>983187112</v>
      </c>
      <c r="G16" s="2">
        <v>88188</v>
      </c>
      <c r="H16" s="1">
        <f t="shared" si="1"/>
        <v>11148.763006304713</v>
      </c>
    </row>
    <row r="17" spans="1:8" ht="14.55" x14ac:dyDescent="0.35">
      <c r="A17" s="11">
        <v>44593</v>
      </c>
      <c r="B17" s="2">
        <f>'Tiêu thụ điện'!I17</f>
        <v>827191453</v>
      </c>
      <c r="C17" s="1">
        <f>'Tiêu thụ xăng'!C16</f>
        <v>37736600</v>
      </c>
      <c r="D17" s="21">
        <f>'Tiêu thụ DO'!I17</f>
        <v>58739480</v>
      </c>
      <c r="E17" s="21">
        <f>'Tiêu thụ LPG'!C17</f>
        <v>3780000</v>
      </c>
      <c r="F17" s="4">
        <f t="shared" si="0"/>
        <v>927447533</v>
      </c>
      <c r="G17" s="2">
        <v>93437</v>
      </c>
      <c r="H17" s="1">
        <f t="shared" si="1"/>
        <v>9925.9130002033453</v>
      </c>
    </row>
    <row r="18" spans="1:8" ht="14.55" x14ac:dyDescent="0.35">
      <c r="A18" s="11">
        <v>44621</v>
      </c>
      <c r="B18" s="2">
        <f>'Tiêu thụ điện'!I18</f>
        <v>1071671566</v>
      </c>
      <c r="C18" s="1">
        <f>'Tiêu thụ xăng'!C17</f>
        <v>48466380</v>
      </c>
      <c r="D18" s="21">
        <f>'Tiêu thụ DO'!I18</f>
        <v>105314370</v>
      </c>
      <c r="E18" s="21">
        <f>'Tiêu thụ LPG'!C18</f>
        <v>8220000</v>
      </c>
      <c r="F18" s="4">
        <f t="shared" si="0"/>
        <v>1233672316</v>
      </c>
      <c r="G18" s="2">
        <v>187118</v>
      </c>
      <c r="H18" s="1">
        <f t="shared" si="1"/>
        <v>6593.0178603875629</v>
      </c>
    </row>
    <row r="19" spans="1:8" ht="14.55" x14ac:dyDescent="0.35">
      <c r="A19" s="11">
        <v>44652</v>
      </c>
      <c r="B19" s="2">
        <f>'Tiêu thụ điện'!I19</f>
        <v>1507578979</v>
      </c>
      <c r="C19" s="1">
        <f>'Tiêu thụ xăng'!C18</f>
        <v>87871630</v>
      </c>
      <c r="D19" s="21">
        <f>'Tiêu thụ DO'!I19</f>
        <v>125961515</v>
      </c>
      <c r="E19" s="21">
        <f>'Tiêu thụ LPG'!C19</f>
        <v>11900000</v>
      </c>
      <c r="F19" s="4">
        <f t="shared" si="0"/>
        <v>1733312124</v>
      </c>
      <c r="G19" s="2">
        <v>308466</v>
      </c>
      <c r="H19" s="1">
        <f t="shared" si="1"/>
        <v>5619.1350878216726</v>
      </c>
    </row>
    <row r="20" spans="1:8" ht="14.55" x14ac:dyDescent="0.35">
      <c r="A20" s="11">
        <v>44682</v>
      </c>
      <c r="B20" s="2">
        <f>'Tiêu thụ điện'!I20</f>
        <v>1529463766</v>
      </c>
      <c r="C20" s="1">
        <f>'Tiêu thụ xăng'!C19</f>
        <v>128035910</v>
      </c>
      <c r="D20" s="21">
        <f>'Tiêu thụ DO'!I20</f>
        <v>129884945</v>
      </c>
      <c r="E20" s="21">
        <f>'Tiêu thụ LPG'!C20</f>
        <v>13600000</v>
      </c>
      <c r="F20" s="4">
        <f t="shared" si="0"/>
        <v>1800984621</v>
      </c>
      <c r="G20" s="2">
        <v>351801</v>
      </c>
      <c r="H20" s="1">
        <f t="shared" si="1"/>
        <v>5119.3277477892334</v>
      </c>
    </row>
    <row r="21" spans="1:8" ht="14.55" x14ac:dyDescent="0.35">
      <c r="A21" s="11">
        <v>44713</v>
      </c>
      <c r="B21" s="2">
        <f>'Tiêu thụ điện'!I21</f>
        <v>2222718995</v>
      </c>
      <c r="C21" s="1">
        <f>'Tiêu thụ xăng'!C20</f>
        <v>174510950</v>
      </c>
      <c r="D21" s="21">
        <f>'Tiêu thụ DO'!I21</f>
        <v>145755020</v>
      </c>
      <c r="E21" s="21">
        <f>'Tiêu thụ LPG'!C21</f>
        <v>10200000</v>
      </c>
      <c r="F21" s="4">
        <f t="shared" si="0"/>
        <v>2553184965</v>
      </c>
      <c r="G21" s="2">
        <v>453767</v>
      </c>
      <c r="H21" s="1">
        <f t="shared" si="1"/>
        <v>5626.6431119936005</v>
      </c>
    </row>
    <row r="22" spans="1:8" ht="14.55" x14ac:dyDescent="0.35">
      <c r="A22" s="11">
        <v>44743</v>
      </c>
      <c r="B22" s="2">
        <f>'Tiêu thụ điện'!I22</f>
        <v>2371274528</v>
      </c>
      <c r="C22" s="1">
        <f>'Tiêu thụ xăng'!C21</f>
        <v>145391240</v>
      </c>
      <c r="D22" s="21">
        <f>'Tiêu thụ DO'!I22</f>
        <v>192401517</v>
      </c>
      <c r="E22" s="21">
        <f>'Tiêu thụ LPG'!C22</f>
        <v>16500000</v>
      </c>
      <c r="F22" s="4">
        <f t="shared" si="0"/>
        <v>2725567285</v>
      </c>
      <c r="G22" s="2">
        <v>550573</v>
      </c>
      <c r="H22" s="1">
        <f t="shared" si="1"/>
        <v>4950.419444832929</v>
      </c>
    </row>
    <row r="23" spans="1:8" ht="14.55" x14ac:dyDescent="0.35">
      <c r="A23" s="11">
        <v>44774</v>
      </c>
      <c r="B23" s="2">
        <f>'Tiêu thụ điện'!I23</f>
        <v>2497358402</v>
      </c>
      <c r="C23" s="1">
        <f>'Tiêu thụ xăng'!C22</f>
        <v>162969930</v>
      </c>
      <c r="D23" s="21">
        <f>'Tiêu thụ DO'!I23</f>
        <v>211666896</v>
      </c>
      <c r="E23" s="21">
        <f>'Tiêu thụ LPG'!C23</f>
        <v>13800000</v>
      </c>
      <c r="F23" s="4">
        <f t="shared" si="0"/>
        <v>2885795228</v>
      </c>
      <c r="G23" s="2">
        <v>700152</v>
      </c>
      <c r="H23" s="1">
        <f t="shared" si="1"/>
        <v>4121.6696203110178</v>
      </c>
    </row>
    <row r="24" spans="1:8" ht="14.55" x14ac:dyDescent="0.35">
      <c r="A24" s="11">
        <v>44805</v>
      </c>
      <c r="B24" s="2">
        <f>'Tiêu thụ điện'!I24</f>
        <v>2455712056</v>
      </c>
      <c r="C24" s="1">
        <f>'Tiêu thụ xăng'!C23</f>
        <v>128071900</v>
      </c>
      <c r="D24" s="21">
        <f>'Tiêu thụ DO'!I24</f>
        <v>227942478</v>
      </c>
      <c r="E24" s="21">
        <f>'Tiêu thụ LPG'!C24</f>
        <v>12910000</v>
      </c>
      <c r="F24" s="4">
        <f t="shared" si="0"/>
        <v>2824636434</v>
      </c>
      <c r="G24" s="2">
        <v>567211</v>
      </c>
      <c r="H24" s="1">
        <f t="shared" si="1"/>
        <v>4979.8689270835721</v>
      </c>
    </row>
    <row r="25" spans="1:8" ht="14.55" x14ac:dyDescent="0.35">
      <c r="A25" s="11">
        <v>44835</v>
      </c>
      <c r="B25" s="2">
        <f>'Tiêu thụ điện'!I25</f>
        <v>2846446050</v>
      </c>
      <c r="C25" s="1">
        <f>'Tiêu thụ xăng'!C24</f>
        <v>99890860</v>
      </c>
      <c r="D25" s="21">
        <f>'Tiêu thụ DO'!I25</f>
        <v>220630875</v>
      </c>
      <c r="E25" s="21">
        <f>'Tiêu thụ LPG'!C25</f>
        <v>8780000</v>
      </c>
      <c r="F25" s="4">
        <f t="shared" si="0"/>
        <v>3175747785</v>
      </c>
      <c r="G25" s="2">
        <v>701525</v>
      </c>
      <c r="H25" s="1">
        <f t="shared" si="1"/>
        <v>4526.9203307081007</v>
      </c>
    </row>
    <row r="26" spans="1:8" ht="14.55" x14ac:dyDescent="0.35">
      <c r="A26" s="11">
        <v>44866</v>
      </c>
      <c r="B26" s="2">
        <f>'Tiêu thụ điện'!I26</f>
        <v>2182584670</v>
      </c>
      <c r="C26" s="1">
        <f>'Tiêu thụ xăng'!C25</f>
        <v>85628820</v>
      </c>
      <c r="D26" s="21">
        <f>'Tiêu thụ DO'!I26</f>
        <v>194415616</v>
      </c>
      <c r="E26" s="21">
        <f>'Tiêu thụ LPG'!C26</f>
        <v>5800000</v>
      </c>
      <c r="F26" s="4">
        <f t="shared" si="0"/>
        <v>2468429106</v>
      </c>
      <c r="G26" s="2">
        <v>660274</v>
      </c>
      <c r="H26" s="1">
        <f t="shared" si="1"/>
        <v>3738.492059357176</v>
      </c>
    </row>
    <row r="27" spans="1:8" ht="14.55" x14ac:dyDescent="0.35">
      <c r="A27" s="11">
        <v>44896</v>
      </c>
      <c r="B27" s="2">
        <f>'Tiêu thụ điện'!I27</f>
        <v>1806269500</v>
      </c>
      <c r="C27" s="1">
        <f>'Tiêu thụ xăng'!C26</f>
        <v>137278860</v>
      </c>
      <c r="D27" s="21">
        <f>'Tiêu thụ DO'!I27</f>
        <v>260698750</v>
      </c>
      <c r="E27" s="21">
        <f>'Tiêu thụ LPG'!C27</f>
        <v>13110000</v>
      </c>
      <c r="F27" s="4">
        <f t="shared" si="0"/>
        <v>2217357110</v>
      </c>
      <c r="G27" s="2">
        <v>657397</v>
      </c>
      <c r="H27" s="1">
        <f t="shared" si="1"/>
        <v>3372.9346346271736</v>
      </c>
    </row>
    <row r="28" spans="1:8" x14ac:dyDescent="0.3">
      <c r="A28" s="23" t="s">
        <v>15</v>
      </c>
      <c r="B28" s="6">
        <f>'Tiêu thụ điện'!I28</f>
        <v>22168984995</v>
      </c>
      <c r="C28" s="5">
        <f>'Tiêu thụ xăng'!C27</f>
        <v>1273254930</v>
      </c>
      <c r="D28" s="26">
        <f>'Tiêu thụ DO'!I28</f>
        <v>1964281694</v>
      </c>
      <c r="E28" s="26">
        <f>'Tiêu thụ LPG'!C28</f>
        <v>122800000</v>
      </c>
      <c r="F28" s="4">
        <f t="shared" si="0"/>
        <v>25529321619</v>
      </c>
      <c r="G28" s="13">
        <f t="shared" ref="G28" si="3">SUBTOTAL(9,G16:G27)</f>
        <v>5319909</v>
      </c>
      <c r="H28" s="1">
        <f t="shared" si="1"/>
        <v>4798.8267504199794</v>
      </c>
    </row>
    <row r="29" spans="1:8" ht="14.55" x14ac:dyDescent="0.35">
      <c r="A29" s="14">
        <v>44927</v>
      </c>
      <c r="B29" s="2">
        <f>'Tiêu thụ điện'!I29</f>
        <v>1017484370</v>
      </c>
      <c r="C29" s="1">
        <f>'Tiêu thụ xăng'!C28</f>
        <v>66743350</v>
      </c>
      <c r="D29" s="21">
        <f>'Tiêu thụ DO'!I29</f>
        <v>144411836</v>
      </c>
      <c r="E29" s="21">
        <f>'Tiêu thụ LPG'!C29</f>
        <v>13599825</v>
      </c>
      <c r="F29" s="4">
        <f t="shared" si="0"/>
        <v>1242239381</v>
      </c>
      <c r="G29" s="2">
        <v>442109</v>
      </c>
      <c r="H29" s="1">
        <f t="shared" si="1"/>
        <v>2809.8034217806016</v>
      </c>
    </row>
    <row r="30" spans="1:8" ht="14.55" x14ac:dyDescent="0.35">
      <c r="A30" s="14">
        <v>44958</v>
      </c>
      <c r="B30" s="2">
        <f>'Tiêu thụ điện'!I30</f>
        <v>1543754800</v>
      </c>
      <c r="C30" s="1">
        <f>'Tiêu thụ xăng'!C29</f>
        <v>129692860</v>
      </c>
      <c r="D30" s="21">
        <f>'Tiêu thụ DO'!I30</f>
        <v>203054558</v>
      </c>
      <c r="E30" s="21">
        <f>'Tiêu thụ LPG'!C30</f>
        <v>11900000</v>
      </c>
      <c r="F30" s="4">
        <f t="shared" si="0"/>
        <v>1888402218</v>
      </c>
      <c r="G30" s="2">
        <v>621191</v>
      </c>
      <c r="H30" s="1">
        <f t="shared" si="1"/>
        <v>3039.9703440648691</v>
      </c>
    </row>
    <row r="31" spans="1:8" ht="14.55" x14ac:dyDescent="0.35">
      <c r="A31" s="14">
        <v>44986</v>
      </c>
      <c r="B31" s="2">
        <f>'Tiêu thụ điện'!I31</f>
        <v>2032675960</v>
      </c>
      <c r="C31" s="1">
        <f>'Tiêu thụ xăng'!C30</f>
        <v>131043790</v>
      </c>
      <c r="D31" s="21">
        <f>'Tiêu thụ DO'!I31</f>
        <v>206222887</v>
      </c>
      <c r="E31" s="21">
        <f>'Tiêu thụ LPG'!C31</f>
        <v>12825000</v>
      </c>
      <c r="F31" s="4">
        <f t="shared" si="0"/>
        <v>2382767637</v>
      </c>
      <c r="G31" s="2">
        <v>780207</v>
      </c>
      <c r="H31" s="1">
        <f t="shared" si="1"/>
        <v>3054.0198139724457</v>
      </c>
    </row>
    <row r="32" spans="1:8" ht="14.55" x14ac:dyDescent="0.35">
      <c r="A32" s="14">
        <v>45017</v>
      </c>
      <c r="B32" s="2">
        <f>'Tiêu thụ điện'!I32</f>
        <v>2217463150</v>
      </c>
      <c r="C32" s="1">
        <f>'Tiêu thụ xăng'!C31</f>
        <v>126110900</v>
      </c>
      <c r="D32" s="21">
        <f>'Tiêu thụ DO'!I32</f>
        <v>180735679</v>
      </c>
      <c r="E32" s="21">
        <f>'Tiêu thụ LPG'!C32</f>
        <v>9750000</v>
      </c>
      <c r="F32" s="4">
        <f t="shared" si="0"/>
        <v>2534059729</v>
      </c>
      <c r="G32" s="2">
        <v>800208</v>
      </c>
      <c r="H32" s="1">
        <f t="shared" si="1"/>
        <v>3166.7513059104631</v>
      </c>
    </row>
    <row r="33" spans="1:8" ht="14.55" x14ac:dyDescent="0.35">
      <c r="A33" s="14">
        <v>45047</v>
      </c>
      <c r="B33" s="2">
        <f>'Tiêu thụ điện'!I33</f>
        <v>2185763510</v>
      </c>
      <c r="C33" s="1">
        <f>'Tiêu thụ xăng'!C32</f>
        <v>119558890</v>
      </c>
      <c r="D33" s="21">
        <f>'Tiêu thụ DO'!I33</f>
        <v>122556680</v>
      </c>
      <c r="E33" s="21">
        <f>'Tiêu thụ LPG'!C33</f>
        <v>10968750</v>
      </c>
      <c r="F33" s="4">
        <f t="shared" si="0"/>
        <v>2438847830</v>
      </c>
      <c r="G33" s="2">
        <v>860646</v>
      </c>
      <c r="H33" s="1">
        <f t="shared" si="1"/>
        <v>2833.7409689930587</v>
      </c>
    </row>
    <row r="34" spans="1:8" ht="14.55" x14ac:dyDescent="0.35">
      <c r="A34" s="14">
        <v>45078</v>
      </c>
      <c r="B34" s="2">
        <f>'Tiêu thụ điện'!I34</f>
        <v>1821986880</v>
      </c>
      <c r="C34" s="1">
        <f>'Tiêu thụ xăng'!C33</f>
        <v>120989200</v>
      </c>
      <c r="D34" s="21">
        <f>'Tiêu thụ DO'!I34</f>
        <v>992141730</v>
      </c>
      <c r="E34" s="21">
        <f>'Tiêu thụ LPG'!C34</f>
        <v>1462500</v>
      </c>
      <c r="F34" s="4">
        <f t="shared" si="0"/>
        <v>2936580310</v>
      </c>
      <c r="G34" s="2">
        <v>800166</v>
      </c>
      <c r="H34" s="1">
        <f t="shared" si="1"/>
        <v>3669.9638699969755</v>
      </c>
    </row>
    <row r="35" spans="1:8" ht="14.55" x14ac:dyDescent="0.35">
      <c r="A35" s="14">
        <v>45108</v>
      </c>
      <c r="B35" s="2">
        <f>'Tiêu thụ điện'!I35</f>
        <v>2171488620</v>
      </c>
      <c r="C35" s="1">
        <f>'Tiêu thụ xăng'!C34</f>
        <v>99673480</v>
      </c>
      <c r="D35" s="21">
        <f>'Tiêu thụ DO'!I35</f>
        <v>110418687</v>
      </c>
      <c r="E35" s="21">
        <f>'Tiêu thụ LPG'!C35</f>
        <v>13600000</v>
      </c>
      <c r="F35" s="4">
        <f t="shared" si="0"/>
        <v>2395180787</v>
      </c>
      <c r="G35" s="2">
        <v>766156</v>
      </c>
      <c r="H35" s="1">
        <f t="shared" si="1"/>
        <v>3126.2311944303769</v>
      </c>
    </row>
    <row r="36" spans="1:8" ht="14.55" x14ac:dyDescent="0.35">
      <c r="A36" s="14">
        <v>45139</v>
      </c>
      <c r="B36" s="2">
        <f>'Tiêu thụ điện'!I36</f>
        <v>2610194370</v>
      </c>
      <c r="C36" s="1">
        <f>'Tiêu thụ xăng'!C35</f>
        <v>134956180</v>
      </c>
      <c r="D36" s="21">
        <f>'Tiêu thụ DO'!I36</f>
        <v>203740620</v>
      </c>
      <c r="E36" s="21">
        <f>'Tiêu thụ LPG'!C36</f>
        <v>13600000</v>
      </c>
      <c r="F36" s="4">
        <f t="shared" si="0"/>
        <v>2962491170</v>
      </c>
      <c r="G36" s="2">
        <v>840154</v>
      </c>
      <c r="H36" s="1">
        <f t="shared" si="1"/>
        <v>3526.1287454442877</v>
      </c>
    </row>
    <row r="37" spans="1:8" ht="14.55" x14ac:dyDescent="0.35">
      <c r="A37" s="14">
        <v>45170</v>
      </c>
      <c r="B37" s="2">
        <f>'Tiêu thụ điện'!I37</f>
        <v>2436001470</v>
      </c>
      <c r="C37" s="1">
        <f>'Tiêu thụ xăng'!C36</f>
        <v>159837320</v>
      </c>
      <c r="D37" s="21">
        <f>'Tiêu thụ DO'!I37</f>
        <v>256116170</v>
      </c>
      <c r="E37" s="21">
        <f>'Tiêu thụ LPG'!C37</f>
        <v>11899999.65</v>
      </c>
      <c r="F37" s="4">
        <f t="shared" si="0"/>
        <v>2863854959.6500001</v>
      </c>
      <c r="G37" s="2">
        <v>740042</v>
      </c>
      <c r="H37" s="1">
        <f t="shared" si="1"/>
        <v>3869.8546293994127</v>
      </c>
    </row>
    <row r="38" spans="1:8" ht="14.55" x14ac:dyDescent="0.35">
      <c r="A38" s="14">
        <v>45200</v>
      </c>
      <c r="B38" s="2">
        <f>'Tiêu thụ điện'!I38</f>
        <v>2740529120</v>
      </c>
      <c r="C38" s="1">
        <f>'Tiêu thụ xăng'!C37</f>
        <v>131214940</v>
      </c>
      <c r="D38" s="21">
        <f>'Tiêu thụ DO'!I38</f>
        <v>223736330</v>
      </c>
      <c r="E38" s="21">
        <f>'Tiêu thụ LPG'!C38</f>
        <v>11899999.65</v>
      </c>
      <c r="F38" s="4">
        <f t="shared" si="0"/>
        <v>3107380389.6500001</v>
      </c>
      <c r="G38" s="2">
        <v>860065</v>
      </c>
      <c r="H38" s="1">
        <f t="shared" si="1"/>
        <v>3612.9599386674263</v>
      </c>
    </row>
    <row r="39" spans="1:8" ht="14.55" x14ac:dyDescent="0.35">
      <c r="A39" s="14">
        <v>45231</v>
      </c>
      <c r="B39" s="2">
        <f>'Tiêu thụ điện'!I39</f>
        <v>2670431540</v>
      </c>
      <c r="C39" s="1">
        <f>'Tiêu thụ xăng'!C38</f>
        <v>139811800</v>
      </c>
      <c r="D39" s="21">
        <f>'Tiêu thụ DO'!I39</f>
        <v>296954080</v>
      </c>
      <c r="E39" s="21">
        <f>'Tiêu thụ LPG'!C39</f>
        <v>12745454.400000002</v>
      </c>
      <c r="F39" s="4">
        <f t="shared" si="0"/>
        <v>3119942874.4000001</v>
      </c>
      <c r="G39" s="2">
        <v>901232</v>
      </c>
      <c r="H39" s="1">
        <f t="shared" si="1"/>
        <v>3461.8642862215279</v>
      </c>
    </row>
    <row r="40" spans="1:8" ht="14.55" x14ac:dyDescent="0.35">
      <c r="A40" s="14">
        <v>45261</v>
      </c>
      <c r="B40" s="2">
        <f>'Tiêu thụ điện'!I40</f>
        <v>2669665460</v>
      </c>
      <c r="C40" s="1">
        <f>'Tiêu thụ xăng'!C39</f>
        <v>130606320</v>
      </c>
      <c r="D40" s="21">
        <f>'Tiêu thụ DO'!I40</f>
        <v>234323750</v>
      </c>
      <c r="E40" s="21">
        <f>'Tiêu thụ LPG'!C40</f>
        <v>13600000</v>
      </c>
      <c r="F40" s="4">
        <f t="shared" si="0"/>
        <v>3048195530</v>
      </c>
      <c r="G40" s="2">
        <v>1020188</v>
      </c>
      <c r="H40" s="1">
        <f t="shared" si="1"/>
        <v>2987.8762835869466</v>
      </c>
    </row>
    <row r="41" spans="1:8" x14ac:dyDescent="0.3">
      <c r="A41" s="24" t="s">
        <v>15</v>
      </c>
      <c r="B41" s="6">
        <f>'Tiêu thụ điện'!I41</f>
        <v>26117439250</v>
      </c>
      <c r="C41" s="5">
        <f>'Tiêu thụ xăng'!D40</f>
        <v>2467016.3760019997</v>
      </c>
      <c r="D41" s="26">
        <f>'Tiêu thụ DO'!I41</f>
        <v>3174413007</v>
      </c>
      <c r="E41" s="26">
        <f>'Tiêu thụ LPG'!C41</f>
        <v>137851528.70000002</v>
      </c>
      <c r="F41" s="4">
        <f t="shared" si="0"/>
        <v>29432170802.076004</v>
      </c>
      <c r="G41" s="16">
        <f t="shared" ref="G41" si="4">SUBTOTAL(9,G29:G40)</f>
        <v>9432364</v>
      </c>
      <c r="H41" s="1">
        <f t="shared" si="1"/>
        <v>3120.3387403280876</v>
      </c>
    </row>
    <row r="42" spans="1:8" ht="14.55" x14ac:dyDescent="0.35">
      <c r="A42" s="17">
        <v>45292</v>
      </c>
      <c r="B42" s="2">
        <f>'Tiêu thụ điện'!L43</f>
        <v>4689720</v>
      </c>
      <c r="C42" s="1">
        <f>'Tiêu thụ xăng'!D41</f>
        <v>167059.97759999998</v>
      </c>
      <c r="D42" s="21">
        <f>'Tiêu thụ DO'!I42</f>
        <v>215397180</v>
      </c>
      <c r="E42" s="21">
        <f>'Tiêu thụ LPG'!C42</f>
        <v>14440000.036000002</v>
      </c>
      <c r="F42" s="4">
        <f t="shared" si="0"/>
        <v>234693960.01360002</v>
      </c>
      <c r="G42" s="2">
        <v>1151428</v>
      </c>
      <c r="H42" s="1">
        <f t="shared" si="1"/>
        <v>203.82860240814017</v>
      </c>
    </row>
    <row r="43" spans="1:8" ht="14.55" x14ac:dyDescent="0.35">
      <c r="A43" s="17">
        <v>45323</v>
      </c>
      <c r="B43" s="2">
        <f>'Tiêu thụ điện'!L44</f>
        <v>3330936</v>
      </c>
      <c r="C43" s="1">
        <f>'Tiêu thụ xăng'!D42</f>
        <v>173160.48239999998</v>
      </c>
      <c r="D43" s="21">
        <f>'Tiêu thụ DO'!I43</f>
        <v>139458620</v>
      </c>
      <c r="E43" s="21">
        <f>'Tiêu thụ LPG'!C43</f>
        <v>9272727.3000000007</v>
      </c>
      <c r="F43" s="4">
        <f t="shared" si="0"/>
        <v>152235443.78240001</v>
      </c>
      <c r="G43" s="2">
        <v>690499</v>
      </c>
      <c r="H43" s="1">
        <f t="shared" si="1"/>
        <v>220.47163541496803</v>
      </c>
    </row>
    <row r="45" spans="1:8" ht="14.55" x14ac:dyDescent="0.35">
      <c r="E45">
        <v>1000</v>
      </c>
      <c r="F45" t="e">
        <f>('tổng hợp'!#REF!)*1000</f>
        <v>#REF!</v>
      </c>
      <c r="G45" s="48" t="e">
        <f>F45/$F$41</f>
        <v>#REF!</v>
      </c>
    </row>
    <row r="46" spans="1:8" ht="14.55" x14ac:dyDescent="0.35">
      <c r="F46" t="e">
        <f>('tổng hợp'!#REF!)*1000</f>
        <v>#REF!</v>
      </c>
      <c r="G46" s="48" t="e">
        <f>F46/$F$41</f>
        <v>#REF!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6"/>
  <sheetViews>
    <sheetView topLeftCell="A28" workbookViewId="0">
      <selection activeCell="H34" sqref="H34"/>
    </sheetView>
  </sheetViews>
  <sheetFormatPr defaultRowHeight="14.4" x14ac:dyDescent="0.3"/>
  <cols>
    <col min="1" max="1" width="13.77734375" bestFit="1" customWidth="1"/>
    <col min="2" max="2" width="11.21875" bestFit="1" customWidth="1"/>
    <col min="3" max="4" width="12.77734375" bestFit="1" customWidth="1"/>
    <col min="5" max="5" width="11.21875" bestFit="1" customWidth="1"/>
    <col min="6" max="6" width="12.5546875" bestFit="1" customWidth="1"/>
    <col min="7" max="7" width="11.88671875" bestFit="1" customWidth="1"/>
    <col min="8" max="8" width="8.77734375" style="1"/>
  </cols>
  <sheetData>
    <row r="2" spans="1:8" x14ac:dyDescent="0.3">
      <c r="B2" t="s">
        <v>25</v>
      </c>
      <c r="C2" t="s">
        <v>26</v>
      </c>
      <c r="D2" t="s">
        <v>27</v>
      </c>
      <c r="E2" t="s">
        <v>28</v>
      </c>
      <c r="F2" t="s">
        <v>29</v>
      </c>
      <c r="G2" s="2" t="s">
        <v>7</v>
      </c>
      <c r="H2" s="1" t="s">
        <v>30</v>
      </c>
    </row>
    <row r="3" spans="1:8" ht="14.55" x14ac:dyDescent="0.35">
      <c r="A3" s="8">
        <v>44197</v>
      </c>
      <c r="B3" s="2">
        <v>125509.3</v>
      </c>
      <c r="C3" s="1">
        <v>0</v>
      </c>
      <c r="D3" s="21">
        <v>859.29740000000004</v>
      </c>
      <c r="E3" s="21">
        <v>96.008399999999995</v>
      </c>
      <c r="F3" s="4">
        <f>SUM(B3:E3)</f>
        <v>126464.6058</v>
      </c>
      <c r="G3" s="2">
        <v>0</v>
      </c>
    </row>
    <row r="4" spans="1:8" ht="14.55" x14ac:dyDescent="0.35">
      <c r="A4" s="8">
        <v>44228</v>
      </c>
      <c r="B4" s="2">
        <v>87619.7</v>
      </c>
      <c r="C4" s="1">
        <v>7039.219000000001</v>
      </c>
      <c r="D4" s="21">
        <v>5575.2638999999999</v>
      </c>
      <c r="E4" s="21">
        <v>160.01400000000001</v>
      </c>
      <c r="F4" s="4">
        <f t="shared" ref="F4:F43" si="0">SUM(B4:E4)</f>
        <v>100394.1969</v>
      </c>
      <c r="G4" s="2">
        <v>0</v>
      </c>
    </row>
    <row r="5" spans="1:8" ht="14.55" x14ac:dyDescent="0.35">
      <c r="A5" s="8">
        <v>44256</v>
      </c>
      <c r="B5" s="2">
        <v>139717.9</v>
      </c>
      <c r="C5" s="1">
        <v>6204.5290000000005</v>
      </c>
      <c r="D5" s="21">
        <v>3243.9748</v>
      </c>
      <c r="E5" s="21">
        <v>192.01679999999999</v>
      </c>
      <c r="F5" s="4">
        <f t="shared" si="0"/>
        <v>149358.42060000001</v>
      </c>
      <c r="G5" s="2">
        <v>0</v>
      </c>
    </row>
    <row r="6" spans="1:8" ht="14.55" x14ac:dyDescent="0.35">
      <c r="A6" s="8">
        <v>44287</v>
      </c>
      <c r="B6" s="2">
        <v>182343.69999999998</v>
      </c>
      <c r="C6" s="1">
        <v>7526.1215000000002</v>
      </c>
      <c r="D6" s="21">
        <v>6589.6415999999999</v>
      </c>
      <c r="E6" s="21">
        <v>160.01400000000001</v>
      </c>
      <c r="F6" s="4">
        <f t="shared" si="0"/>
        <v>196619.47709999999</v>
      </c>
      <c r="G6" s="2">
        <v>0</v>
      </c>
    </row>
    <row r="7" spans="1:8" ht="14.55" x14ac:dyDescent="0.35">
      <c r="A7" s="8">
        <v>44317</v>
      </c>
      <c r="B7" s="2">
        <v>172871.3</v>
      </c>
      <c r="C7" s="1">
        <v>4966.4055000000008</v>
      </c>
      <c r="D7" s="21">
        <v>9068.3840999999993</v>
      </c>
      <c r="E7" s="21">
        <v>192.01679999999999</v>
      </c>
      <c r="F7" s="4">
        <f t="shared" si="0"/>
        <v>187098.10639999999</v>
      </c>
      <c r="G7" s="2">
        <v>0</v>
      </c>
    </row>
    <row r="8" spans="1:8" ht="14.55" x14ac:dyDescent="0.35">
      <c r="A8" s="8">
        <v>44348</v>
      </c>
      <c r="B8" s="2">
        <v>262859.09999999998</v>
      </c>
      <c r="C8" s="1">
        <v>6541.1873000000005</v>
      </c>
      <c r="D8" s="21">
        <v>8547.2126000000007</v>
      </c>
      <c r="E8" s="21">
        <v>224.0196</v>
      </c>
      <c r="F8" s="4">
        <f t="shared" si="0"/>
        <v>278171.51949999999</v>
      </c>
      <c r="G8" s="2">
        <v>0</v>
      </c>
    </row>
    <row r="9" spans="1:8" ht="14.55" x14ac:dyDescent="0.35">
      <c r="A9" s="8">
        <v>44378</v>
      </c>
      <c r="B9" s="2">
        <v>291276.3</v>
      </c>
      <c r="C9" s="1">
        <v>5617.4637000000002</v>
      </c>
      <c r="D9" s="21">
        <v>10964.939899999999</v>
      </c>
      <c r="E9" s="21">
        <v>288.02519999999998</v>
      </c>
      <c r="F9" s="4">
        <f t="shared" si="0"/>
        <v>308146.72879999998</v>
      </c>
      <c r="G9" s="2">
        <v>0</v>
      </c>
    </row>
    <row r="10" spans="1:8" ht="14.55" x14ac:dyDescent="0.35">
      <c r="A10" s="8">
        <v>44409</v>
      </c>
      <c r="B10" s="2">
        <v>317325.39999999997</v>
      </c>
      <c r="C10" s="1">
        <v>4048.2465000000002</v>
      </c>
      <c r="D10" s="21">
        <v>12050.502</v>
      </c>
      <c r="E10" s="21">
        <v>256.0224</v>
      </c>
      <c r="F10" s="4">
        <f t="shared" si="0"/>
        <v>333680.17089999997</v>
      </c>
      <c r="G10" s="2">
        <v>0</v>
      </c>
    </row>
    <row r="11" spans="1:8" ht="14.55" x14ac:dyDescent="0.35">
      <c r="A11" s="8">
        <v>44440</v>
      </c>
      <c r="B11" s="2">
        <v>260704.12899999999</v>
      </c>
      <c r="C11" s="1">
        <v>2963.1495000000004</v>
      </c>
      <c r="D11" s="21">
        <v>6925.2251999999999</v>
      </c>
      <c r="E11" s="21">
        <v>256.0224</v>
      </c>
      <c r="F11" s="4">
        <f t="shared" si="0"/>
        <v>270848.52610000002</v>
      </c>
      <c r="G11" s="2">
        <v>0</v>
      </c>
    </row>
    <row r="12" spans="1:8" ht="14.55" x14ac:dyDescent="0.35">
      <c r="A12" s="8">
        <v>44470</v>
      </c>
      <c r="B12" s="2">
        <v>276901.93300000002</v>
      </c>
      <c r="C12" s="1">
        <v>2100.6365000000001</v>
      </c>
      <c r="D12" s="21">
        <v>8809.0694999999996</v>
      </c>
      <c r="E12" s="21">
        <v>288.02519999999998</v>
      </c>
      <c r="F12" s="4">
        <f t="shared" si="0"/>
        <v>288099.6642</v>
      </c>
      <c r="G12" s="2">
        <v>0</v>
      </c>
    </row>
    <row r="13" spans="1:8" ht="14.55" x14ac:dyDescent="0.35">
      <c r="A13" s="8">
        <v>44501</v>
      </c>
      <c r="B13" s="2">
        <v>241172.71679999999</v>
      </c>
      <c r="C13" s="1">
        <v>4173.4500000000007</v>
      </c>
      <c r="D13" s="21">
        <v>19092.672999999999</v>
      </c>
      <c r="E13" s="21">
        <v>320.02800000000002</v>
      </c>
      <c r="F13" s="4">
        <f t="shared" si="0"/>
        <v>264758.86780000001</v>
      </c>
      <c r="G13" s="2">
        <v>23289</v>
      </c>
      <c r="H13" s="1">
        <f>F13/G13</f>
        <v>11.368408596333033</v>
      </c>
    </row>
    <row r="14" spans="1:8" ht="14.55" x14ac:dyDescent="0.35">
      <c r="A14" s="8">
        <v>44531</v>
      </c>
      <c r="B14" s="2">
        <v>140045.3744</v>
      </c>
      <c r="C14" s="1">
        <v>3964.7775000000001</v>
      </c>
      <c r="D14" s="21">
        <v>24924.709200000001</v>
      </c>
      <c r="E14" s="21">
        <v>320.02800000000002</v>
      </c>
      <c r="F14" s="4">
        <f t="shared" si="0"/>
        <v>169254.8891</v>
      </c>
      <c r="G14" s="2">
        <v>27099</v>
      </c>
      <c r="H14" s="1">
        <f t="shared" ref="H14:H43" si="1">F14/G14</f>
        <v>6.245798335731946</v>
      </c>
    </row>
    <row r="15" spans="1:8" x14ac:dyDescent="0.3">
      <c r="A15" s="22" t="s">
        <v>15</v>
      </c>
      <c r="B15" s="6">
        <v>2498346.8531999998</v>
      </c>
      <c r="C15" s="5">
        <v>55145.186000000002</v>
      </c>
      <c r="D15" s="26">
        <v>116650.89319999999</v>
      </c>
      <c r="E15" s="26">
        <v>2752.2408000000005</v>
      </c>
      <c r="F15" s="4">
        <f t="shared" si="0"/>
        <v>2672895.1731999996</v>
      </c>
      <c r="G15" s="10">
        <f t="shared" ref="G15" si="2">SUBTOTAL(9,G3:G14)</f>
        <v>50388</v>
      </c>
      <c r="H15" s="1">
        <f t="shared" si="1"/>
        <v>53.04626445185361</v>
      </c>
    </row>
    <row r="16" spans="1:8" ht="14.55" x14ac:dyDescent="0.35">
      <c r="A16" s="11">
        <v>44562</v>
      </c>
      <c r="B16" s="2">
        <v>301196.60920000001</v>
      </c>
      <c r="C16" s="1">
        <v>4326.4765000000007</v>
      </c>
      <c r="D16" s="21">
        <v>12780.142099999999</v>
      </c>
      <c r="E16" s="21">
        <v>320.02800000000002</v>
      </c>
      <c r="F16" s="4">
        <f t="shared" si="0"/>
        <v>318623.25579999998</v>
      </c>
      <c r="G16" s="2">
        <v>88188</v>
      </c>
      <c r="H16" s="1">
        <f t="shared" si="1"/>
        <v>3.6130001338050528</v>
      </c>
    </row>
    <row r="17" spans="1:8" ht="14.55" x14ac:dyDescent="0.35">
      <c r="A17" s="11">
        <v>44593</v>
      </c>
      <c r="B17" s="2">
        <v>291825.02259999997</v>
      </c>
      <c r="C17" s="1">
        <v>4103.8924999999999</v>
      </c>
      <c r="D17" s="21">
        <v>7464.1927999999998</v>
      </c>
      <c r="E17" s="21">
        <v>288.02519999999998</v>
      </c>
      <c r="F17" s="4">
        <f t="shared" si="0"/>
        <v>303681.13309999998</v>
      </c>
      <c r="G17" s="2">
        <v>93437</v>
      </c>
      <c r="H17" s="1">
        <f t="shared" si="1"/>
        <v>3.2501164752721081</v>
      </c>
    </row>
    <row r="18" spans="1:8" ht="14.55" x14ac:dyDescent="0.35">
      <c r="A18" s="11">
        <v>44621</v>
      </c>
      <c r="B18" s="2">
        <v>374943.97940000001</v>
      </c>
      <c r="C18" s="1">
        <v>4677.0463</v>
      </c>
      <c r="D18" s="21">
        <v>11872.540999999999</v>
      </c>
      <c r="E18" s="21">
        <v>608.05320000000006</v>
      </c>
      <c r="F18" s="4">
        <f t="shared" si="0"/>
        <v>392101.61990000005</v>
      </c>
      <c r="G18" s="2">
        <v>187118</v>
      </c>
      <c r="H18" s="1">
        <f t="shared" si="1"/>
        <v>2.0954778262914315</v>
      </c>
    </row>
    <row r="19" spans="1:8" ht="14.55" x14ac:dyDescent="0.35">
      <c r="A19" s="11">
        <v>44652</v>
      </c>
      <c r="B19" s="2">
        <v>537028.24560000002</v>
      </c>
      <c r="C19" s="1">
        <v>8644.6061000000009</v>
      </c>
      <c r="D19" s="21">
        <v>13687.743200000001</v>
      </c>
      <c r="E19" s="21">
        <v>840.07349999999997</v>
      </c>
      <c r="F19" s="4">
        <f t="shared" si="0"/>
        <v>560200.66840000008</v>
      </c>
      <c r="G19" s="2">
        <v>308466</v>
      </c>
      <c r="H19" s="1">
        <f t="shared" si="1"/>
        <v>1.8160856249959481</v>
      </c>
    </row>
    <row r="20" spans="1:8" ht="14.55" x14ac:dyDescent="0.35">
      <c r="A20" s="11">
        <v>44682</v>
      </c>
      <c r="B20" s="2">
        <v>562134.16519999993</v>
      </c>
      <c r="C20" s="1">
        <v>11933.2847</v>
      </c>
      <c r="D20" s="21">
        <v>13730.962299999999</v>
      </c>
      <c r="E20" s="21">
        <v>960.08400000000006</v>
      </c>
      <c r="F20" s="4">
        <f t="shared" si="0"/>
        <v>588758.49619999994</v>
      </c>
      <c r="G20" s="2">
        <v>351801</v>
      </c>
      <c r="H20" s="1">
        <f t="shared" si="1"/>
        <v>1.6735554935887047</v>
      </c>
    </row>
    <row r="21" spans="1:8" ht="14.55" x14ac:dyDescent="0.35">
      <c r="A21" s="11">
        <v>44713</v>
      </c>
      <c r="B21" s="2">
        <v>809468.67819999997</v>
      </c>
      <c r="C21" s="1">
        <v>14960.427100000001</v>
      </c>
      <c r="D21" s="21">
        <v>14089.426600000001</v>
      </c>
      <c r="E21" s="21">
        <v>720.06299999999999</v>
      </c>
      <c r="F21" s="4">
        <f t="shared" si="0"/>
        <v>839238.59489999991</v>
      </c>
      <c r="G21" s="2">
        <v>453767</v>
      </c>
      <c r="H21" s="1">
        <f t="shared" si="1"/>
        <v>1.8494923493775437</v>
      </c>
    </row>
    <row r="22" spans="1:8" ht="14.55" x14ac:dyDescent="0.35">
      <c r="A22" s="11">
        <v>44743</v>
      </c>
      <c r="B22" s="2">
        <v>863579.76319999993</v>
      </c>
      <c r="C22" s="1">
        <v>13048.987000000001</v>
      </c>
      <c r="D22" s="21">
        <v>18650.3128</v>
      </c>
      <c r="E22" s="21">
        <v>1200.105</v>
      </c>
      <c r="F22" s="4">
        <f t="shared" si="0"/>
        <v>896479.16799999983</v>
      </c>
      <c r="G22" s="2">
        <v>550573</v>
      </c>
      <c r="H22" s="1">
        <f t="shared" si="1"/>
        <v>1.628265766755725</v>
      </c>
    </row>
    <row r="23" spans="1:8" ht="14.55" x14ac:dyDescent="0.35">
      <c r="A23" s="11">
        <v>44774</v>
      </c>
      <c r="B23" s="2">
        <v>923377.67119999998</v>
      </c>
      <c r="C23" s="1">
        <v>17570.2245</v>
      </c>
      <c r="D23" s="21">
        <v>22382.409199999998</v>
      </c>
      <c r="E23" s="21">
        <v>1200.105</v>
      </c>
      <c r="F23" s="4">
        <f t="shared" si="0"/>
        <v>964530.40989999997</v>
      </c>
      <c r="G23" s="2">
        <v>700152</v>
      </c>
      <c r="H23" s="1">
        <f t="shared" si="1"/>
        <v>1.3776014492567328</v>
      </c>
    </row>
    <row r="24" spans="1:8" ht="14.55" x14ac:dyDescent="0.35">
      <c r="A24" s="11">
        <v>44805</v>
      </c>
      <c r="B24" s="2">
        <v>925377.70079999999</v>
      </c>
      <c r="C24" s="1">
        <v>14729.496200000001</v>
      </c>
      <c r="D24" s="21">
        <v>23790.843400000002</v>
      </c>
      <c r="E24" s="21">
        <v>1240.1085</v>
      </c>
      <c r="F24" s="4">
        <f t="shared" si="0"/>
        <v>965138.14890000003</v>
      </c>
      <c r="G24" s="2">
        <v>567211</v>
      </c>
      <c r="H24" s="1">
        <f t="shared" si="1"/>
        <v>1.7015504792749083</v>
      </c>
    </row>
    <row r="25" spans="1:8" ht="14.55" x14ac:dyDescent="0.35">
      <c r="A25" s="11">
        <v>44835</v>
      </c>
      <c r="B25" s="2">
        <v>1080848.202</v>
      </c>
      <c r="C25" s="1">
        <v>12306.1129</v>
      </c>
      <c r="D25" s="21">
        <v>23696.778300000002</v>
      </c>
      <c r="E25" s="21">
        <v>912.07979999999998</v>
      </c>
      <c r="F25" s="4">
        <f t="shared" si="0"/>
        <v>1117763.173</v>
      </c>
      <c r="G25" s="2">
        <v>701525</v>
      </c>
      <c r="H25" s="1">
        <f t="shared" si="1"/>
        <v>1.5933333423612843</v>
      </c>
    </row>
    <row r="26" spans="1:8" ht="14.55" x14ac:dyDescent="0.35">
      <c r="A26" s="11">
        <v>44866</v>
      </c>
      <c r="B26" s="2">
        <v>832008.25399999996</v>
      </c>
      <c r="C26" s="1">
        <v>10238.864000000001</v>
      </c>
      <c r="D26" s="21">
        <v>20084.169999999998</v>
      </c>
      <c r="E26" s="21">
        <v>848.07420000000002</v>
      </c>
      <c r="F26" s="4">
        <f t="shared" si="0"/>
        <v>863179.36220000009</v>
      </c>
      <c r="G26" s="2">
        <v>660274</v>
      </c>
      <c r="H26" s="1">
        <f t="shared" si="1"/>
        <v>1.3073047889209632</v>
      </c>
    </row>
    <row r="27" spans="1:8" ht="14.55" x14ac:dyDescent="0.35">
      <c r="A27" s="11">
        <v>44896</v>
      </c>
      <c r="B27" s="2">
        <v>712987.54799999995</v>
      </c>
      <c r="C27" s="1">
        <v>16663.1947</v>
      </c>
      <c r="D27" s="21">
        <v>31809.257600000001</v>
      </c>
      <c r="E27" s="21">
        <v>1296.1134</v>
      </c>
      <c r="F27" s="4">
        <f t="shared" si="0"/>
        <v>762756.11369999999</v>
      </c>
      <c r="G27" s="2">
        <v>657397</v>
      </c>
      <c r="H27" s="1">
        <f t="shared" si="1"/>
        <v>1.160267104504584</v>
      </c>
    </row>
    <row r="28" spans="1:8" x14ac:dyDescent="0.3">
      <c r="A28" s="23" t="s">
        <v>15</v>
      </c>
      <c r="B28" s="6">
        <v>8214775.839399999</v>
      </c>
      <c r="C28" s="5">
        <v>133202.61250000002</v>
      </c>
      <c r="D28" s="26">
        <v>214038.77929999999</v>
      </c>
      <c r="E28" s="26">
        <v>10432.9128</v>
      </c>
      <c r="F28" s="4">
        <f t="shared" si="0"/>
        <v>8572450.1439999975</v>
      </c>
      <c r="G28" s="13">
        <f t="shared" ref="G28" si="3">SUBTOTAL(9,G16:G27)</f>
        <v>5319909</v>
      </c>
      <c r="H28" s="1">
        <f t="shared" si="1"/>
        <v>1.6113903722789238</v>
      </c>
    </row>
    <row r="29" spans="1:8" ht="14.55" x14ac:dyDescent="0.35">
      <c r="A29" s="14">
        <v>44927</v>
      </c>
      <c r="B29" s="2">
        <v>396940.92199999996</v>
      </c>
      <c r="C29" s="1">
        <v>8360.8114999999998</v>
      </c>
      <c r="D29" s="21">
        <v>16578.338299999999</v>
      </c>
      <c r="E29" s="21">
        <v>933.41499999999996</v>
      </c>
      <c r="F29" s="4">
        <f t="shared" si="0"/>
        <v>422813.48679999996</v>
      </c>
      <c r="G29" s="2">
        <v>442109</v>
      </c>
      <c r="H29" s="1">
        <f t="shared" si="1"/>
        <v>0.9563557557073028</v>
      </c>
    </row>
    <row r="30" spans="1:8" ht="14.55" x14ac:dyDescent="0.35">
      <c r="A30" s="14">
        <v>44958</v>
      </c>
      <c r="B30" s="2">
        <v>588425.48800000001</v>
      </c>
      <c r="C30" s="1">
        <v>15369.425200000001</v>
      </c>
      <c r="D30" s="21">
        <v>23112.049299999999</v>
      </c>
      <c r="E30" s="21">
        <v>840.07349999999997</v>
      </c>
      <c r="F30" s="4">
        <f t="shared" si="0"/>
        <v>627747.03600000008</v>
      </c>
      <c r="G30" s="2">
        <v>621191</v>
      </c>
      <c r="H30" s="1">
        <f t="shared" si="1"/>
        <v>1.0105539777620733</v>
      </c>
    </row>
    <row r="31" spans="1:8" ht="14.55" x14ac:dyDescent="0.35">
      <c r="A31" s="14">
        <v>44986</v>
      </c>
      <c r="B31" s="2">
        <v>766345.57719999994</v>
      </c>
      <c r="C31" s="1">
        <v>15252.568600000001</v>
      </c>
      <c r="D31" s="21">
        <v>24990.809000000001</v>
      </c>
      <c r="E31" s="21">
        <v>1080.0944999999999</v>
      </c>
      <c r="F31" s="4">
        <f t="shared" si="0"/>
        <v>807669.04929999996</v>
      </c>
      <c r="G31" s="2">
        <v>780207</v>
      </c>
      <c r="H31" s="1">
        <f t="shared" si="1"/>
        <v>1.035198414395154</v>
      </c>
    </row>
    <row r="32" spans="1:8" ht="14.55" x14ac:dyDescent="0.35">
      <c r="A32" s="14">
        <v>45017</v>
      </c>
      <c r="B32" s="2">
        <v>831385.78200000001</v>
      </c>
      <c r="C32" s="1">
        <v>14665.5033</v>
      </c>
      <c r="D32" s="21">
        <v>22832.3963</v>
      </c>
      <c r="E32" s="21">
        <v>960.08400000000006</v>
      </c>
      <c r="F32" s="4">
        <f t="shared" si="0"/>
        <v>869843.76560000004</v>
      </c>
      <c r="G32" s="2">
        <v>800208</v>
      </c>
      <c r="H32" s="1">
        <f t="shared" si="1"/>
        <v>1.0870220812588727</v>
      </c>
    </row>
    <row r="33" spans="1:8" ht="14.55" x14ac:dyDescent="0.35">
      <c r="A33" s="14">
        <v>45047</v>
      </c>
      <c r="B33" s="2">
        <v>784693.61599999992</v>
      </c>
      <c r="C33" s="1">
        <v>14582.034300000001</v>
      </c>
      <c r="D33" s="21">
        <v>16494.4424</v>
      </c>
      <c r="E33" s="21">
        <v>1080.0944999999999</v>
      </c>
      <c r="F33" s="4">
        <f t="shared" si="0"/>
        <v>816850.18719999993</v>
      </c>
      <c r="G33" s="2">
        <v>860646</v>
      </c>
      <c r="H33" s="1">
        <f t="shared" si="1"/>
        <v>0.94911286080455837</v>
      </c>
    </row>
    <row r="34" spans="1:8" ht="14.55" x14ac:dyDescent="0.35">
      <c r="A34" s="14">
        <v>45078</v>
      </c>
      <c r="B34" s="2">
        <v>668372.54399999999</v>
      </c>
      <c r="C34" s="1">
        <v>15102.324400000001</v>
      </c>
      <c r="D34" s="21">
        <v>137856.2175</v>
      </c>
      <c r="E34" s="21">
        <v>1080.0944999999999</v>
      </c>
      <c r="F34" s="4">
        <f t="shared" si="0"/>
        <v>822411.18040000007</v>
      </c>
      <c r="G34" s="2">
        <v>800166</v>
      </c>
      <c r="H34" s="1">
        <f t="shared" si="1"/>
        <v>1.0278007068533279</v>
      </c>
    </row>
    <row r="35" spans="1:8" ht="14.55" x14ac:dyDescent="0.35">
      <c r="A35" s="14">
        <v>45108</v>
      </c>
      <c r="B35" s="2">
        <v>744009.65799999994</v>
      </c>
      <c r="C35" s="1">
        <v>12533.398987</v>
      </c>
      <c r="D35" s="21">
        <v>14936.012500000001</v>
      </c>
      <c r="E35" s="21">
        <v>960.08400000000006</v>
      </c>
      <c r="F35" s="4">
        <f t="shared" si="0"/>
        <v>772439.15348699992</v>
      </c>
      <c r="G35" s="2">
        <v>766156</v>
      </c>
      <c r="H35" s="1">
        <f t="shared" si="1"/>
        <v>1.0082008800909996</v>
      </c>
    </row>
    <row r="36" spans="1:8" ht="14.55" x14ac:dyDescent="0.35">
      <c r="A36" s="14">
        <v>45139</v>
      </c>
      <c r="B36" s="2">
        <v>954723.196</v>
      </c>
      <c r="C36" s="1">
        <v>15578.097700000002</v>
      </c>
      <c r="D36" s="21">
        <v>24434.045300000002</v>
      </c>
      <c r="E36" s="21">
        <v>960.08400000000006</v>
      </c>
      <c r="F36" s="4">
        <f t="shared" si="0"/>
        <v>995695.42300000007</v>
      </c>
      <c r="G36" s="2">
        <v>840154</v>
      </c>
      <c r="H36" s="1">
        <f t="shared" si="1"/>
        <v>1.1851344194040616</v>
      </c>
    </row>
    <row r="37" spans="1:8" ht="14.55" x14ac:dyDescent="0.35">
      <c r="A37" s="14">
        <v>45170</v>
      </c>
      <c r="B37" s="2">
        <v>882574.63159999996</v>
      </c>
      <c r="C37" s="1">
        <v>17559.095300000001</v>
      </c>
      <c r="D37" s="21">
        <v>28778.835999999999</v>
      </c>
      <c r="E37" s="21">
        <v>840.07349999999997</v>
      </c>
      <c r="F37" s="4">
        <f t="shared" si="0"/>
        <v>929752.63640000008</v>
      </c>
      <c r="G37" s="2">
        <v>740042</v>
      </c>
      <c r="H37" s="1">
        <f t="shared" si="1"/>
        <v>1.2563511752035696</v>
      </c>
    </row>
    <row r="38" spans="1:8" ht="14.55" x14ac:dyDescent="0.35">
      <c r="A38" s="14">
        <v>45200</v>
      </c>
      <c r="B38" s="2">
        <v>872687.47580000001</v>
      </c>
      <c r="C38" s="1">
        <v>14607.075000000001</v>
      </c>
      <c r="D38" s="21">
        <v>24263.711200000002</v>
      </c>
      <c r="E38" s="21">
        <v>840.07349999999997</v>
      </c>
      <c r="F38" s="4">
        <f t="shared" si="0"/>
        <v>912398.33550000004</v>
      </c>
      <c r="G38" s="2">
        <v>860065</v>
      </c>
      <c r="H38" s="1">
        <f t="shared" si="1"/>
        <v>1.0608481167121091</v>
      </c>
    </row>
    <row r="39" spans="1:8" ht="14.55" x14ac:dyDescent="0.35">
      <c r="A39" s="14">
        <v>45231</v>
      </c>
      <c r="B39" s="2">
        <v>941177.66399999999</v>
      </c>
      <c r="C39" s="1">
        <v>16092.823200000001</v>
      </c>
      <c r="D39" s="21">
        <v>35960.833500000001</v>
      </c>
      <c r="E39" s="21">
        <v>992.08680000000004</v>
      </c>
      <c r="F39" s="4">
        <f t="shared" si="0"/>
        <v>994223.40749999997</v>
      </c>
      <c r="G39" s="2">
        <v>901232</v>
      </c>
      <c r="H39" s="1">
        <f t="shared" si="1"/>
        <v>1.1031825406776501</v>
      </c>
    </row>
    <row r="40" spans="1:8" ht="14.55" x14ac:dyDescent="0.35">
      <c r="A40" s="14">
        <v>45261</v>
      </c>
      <c r="B40" s="2">
        <v>930000.23199999996</v>
      </c>
      <c r="C40" s="1">
        <v>15820.157800000001</v>
      </c>
      <c r="D40" s="21">
        <v>29640.6757</v>
      </c>
      <c r="E40" s="21">
        <v>960.08400000000006</v>
      </c>
      <c r="F40" s="4">
        <f t="shared" si="0"/>
        <v>976421.14950000006</v>
      </c>
      <c r="G40" s="2">
        <v>1020188</v>
      </c>
      <c r="H40" s="1">
        <f t="shared" si="1"/>
        <v>0.95709923023991661</v>
      </c>
    </row>
    <row r="41" spans="1:8" x14ac:dyDescent="0.3">
      <c r="A41" s="24" t="s">
        <v>15</v>
      </c>
      <c r="B41" s="6">
        <v>9361336.7866000012</v>
      </c>
      <c r="C41" s="5">
        <v>175523.31528700003</v>
      </c>
      <c r="D41" s="26">
        <v>399878.36700000009</v>
      </c>
      <c r="E41" s="26">
        <v>11526.3418</v>
      </c>
      <c r="F41" s="4">
        <f t="shared" si="0"/>
        <v>9948264.8106870018</v>
      </c>
      <c r="G41" s="16">
        <f t="shared" ref="G41" si="4">SUBTOTAL(9,G29:G40)</f>
        <v>9432364</v>
      </c>
      <c r="H41" s="1">
        <f t="shared" si="1"/>
        <v>1.0546947520989438</v>
      </c>
    </row>
    <row r="42" spans="1:8" ht="14.55" x14ac:dyDescent="0.35">
      <c r="A42" s="17">
        <v>45292</v>
      </c>
      <c r="B42" s="2">
        <v>881406.82</v>
      </c>
      <c r="C42" s="1">
        <v>11885.985600000002</v>
      </c>
      <c r="D42" s="21">
        <v>27828.015800000001</v>
      </c>
      <c r="E42" s="21">
        <v>1024.0896</v>
      </c>
      <c r="F42" s="4">
        <f t="shared" si="0"/>
        <v>922144.91099999996</v>
      </c>
      <c r="G42" s="2">
        <v>1151428</v>
      </c>
      <c r="H42" s="1">
        <f t="shared" si="1"/>
        <v>0.80087066755368108</v>
      </c>
    </row>
    <row r="43" spans="1:8" ht="14.55" x14ac:dyDescent="0.35">
      <c r="A43" s="17">
        <v>45323</v>
      </c>
      <c r="B43" s="2">
        <v>626030.91599999997</v>
      </c>
      <c r="C43" s="1">
        <v>12320.0244</v>
      </c>
      <c r="D43" s="21">
        <v>16911.3796</v>
      </c>
      <c r="E43" s="21">
        <v>632.05529999999999</v>
      </c>
      <c r="F43" s="4">
        <f t="shared" si="0"/>
        <v>655894.37529999996</v>
      </c>
      <c r="G43" s="2">
        <v>690499</v>
      </c>
      <c r="H43" s="1">
        <f t="shared" si="1"/>
        <v>0.9498846128669266</v>
      </c>
    </row>
    <row r="45" spans="1:8" ht="14.55" x14ac:dyDescent="0.35">
      <c r="E45" s="21">
        <v>3.6</v>
      </c>
      <c r="F45" s="21">
        <v>4536534.7648900002</v>
      </c>
    </row>
    <row r="46" spans="1:8" ht="14.55" x14ac:dyDescent="0.35">
      <c r="E46" s="21">
        <v>0.67659999999999998</v>
      </c>
      <c r="F46" s="49">
        <f>F45/F41</f>
        <v>0.45601266665284101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B13" sqref="B13"/>
    </sheetView>
  </sheetViews>
  <sheetFormatPr defaultRowHeight="14.4" x14ac:dyDescent="0.3"/>
  <cols>
    <col min="1" max="1" width="5.21875" customWidth="1"/>
    <col min="2" max="2" width="97.33203125" bestFit="1" customWidth="1"/>
    <col min="3" max="3" width="8.44140625" bestFit="1" customWidth="1"/>
    <col min="4" max="4" width="13.6640625" bestFit="1" customWidth="1"/>
    <col min="7" max="7" width="11.44140625" bestFit="1" customWidth="1"/>
    <col min="8" max="8" width="10.6640625" bestFit="1" customWidth="1"/>
  </cols>
  <sheetData>
    <row r="1" spans="1:12" ht="17.399999999999999" x14ac:dyDescent="0.3">
      <c r="A1" s="68" t="s">
        <v>111</v>
      </c>
      <c r="B1" s="68"/>
      <c r="C1" s="68"/>
      <c r="D1" s="68"/>
    </row>
    <row r="2" spans="1:12" ht="15.6" x14ac:dyDescent="0.3">
      <c r="A2" s="67" t="s">
        <v>112</v>
      </c>
      <c r="B2" s="67"/>
      <c r="C2" s="67"/>
      <c r="D2" s="67"/>
    </row>
    <row r="3" spans="1:12" ht="15.6" x14ac:dyDescent="0.3">
      <c r="A3" s="40" t="s">
        <v>57</v>
      </c>
      <c r="B3" s="40" t="s">
        <v>31</v>
      </c>
      <c r="C3" s="41" t="s">
        <v>32</v>
      </c>
      <c r="D3" s="41" t="s">
        <v>33</v>
      </c>
    </row>
    <row r="4" spans="1:12" x14ac:dyDescent="0.3">
      <c r="A4" s="30">
        <v>1</v>
      </c>
      <c r="B4" s="30" t="s">
        <v>53</v>
      </c>
      <c r="C4" s="30" t="s">
        <v>3</v>
      </c>
      <c r="D4" s="31">
        <f>'Tiêu thụ điện'!$E$41</f>
        <v>13835851</v>
      </c>
    </row>
    <row r="5" spans="1:12" x14ac:dyDescent="0.3">
      <c r="A5" s="30">
        <v>2</v>
      </c>
      <c r="B5" s="30" t="s">
        <v>34</v>
      </c>
      <c r="C5" s="30" t="s">
        <v>35</v>
      </c>
      <c r="D5" s="32">
        <v>1.4999999999999999E-2</v>
      </c>
    </row>
    <row r="6" spans="1:12" x14ac:dyDescent="0.3">
      <c r="A6" s="30">
        <v>3</v>
      </c>
      <c r="B6" s="30" t="s">
        <v>36</v>
      </c>
      <c r="C6" s="30" t="s">
        <v>37</v>
      </c>
      <c r="D6" s="33">
        <f>D4*D5</f>
        <v>207537.76499999998</v>
      </c>
    </row>
    <row r="7" spans="1:12" x14ac:dyDescent="0.3">
      <c r="A7" s="30">
        <v>4</v>
      </c>
      <c r="B7" s="30" t="s">
        <v>38</v>
      </c>
      <c r="C7" s="30" t="s">
        <v>37</v>
      </c>
      <c r="D7" s="30">
        <v>1.35</v>
      </c>
    </row>
    <row r="8" spans="1:12" x14ac:dyDescent="0.3">
      <c r="A8" s="30">
        <v>5</v>
      </c>
      <c r="B8" s="30" t="s">
        <v>39</v>
      </c>
      <c r="C8" s="30" t="s">
        <v>3</v>
      </c>
      <c r="D8" s="34">
        <v>13835851</v>
      </c>
    </row>
    <row r="9" spans="1:12" x14ac:dyDescent="0.3">
      <c r="A9" s="30">
        <v>6</v>
      </c>
      <c r="B9" s="30" t="s">
        <v>40</v>
      </c>
      <c r="C9" s="30" t="s">
        <v>3</v>
      </c>
      <c r="D9" s="34">
        <v>207538</v>
      </c>
    </row>
    <row r="10" spans="1:12" x14ac:dyDescent="0.3">
      <c r="A10" s="30">
        <v>7</v>
      </c>
      <c r="B10" s="30" t="s">
        <v>41</v>
      </c>
      <c r="C10" s="30" t="s">
        <v>42</v>
      </c>
      <c r="D10" s="31">
        <f>'Tiêu thụ điện'!$J$41</f>
        <v>1887.6641017599857</v>
      </c>
    </row>
    <row r="11" spans="1:12" ht="18.600000000000001" x14ac:dyDescent="0.3">
      <c r="A11" s="30">
        <v>8</v>
      </c>
      <c r="B11" s="30" t="s">
        <v>43</v>
      </c>
      <c r="C11" s="30" t="s">
        <v>44</v>
      </c>
      <c r="D11" s="35">
        <f>D9*D10/1000</f>
        <v>391762.03235106391</v>
      </c>
    </row>
    <row r="12" spans="1:12" ht="18.600000000000001" x14ac:dyDescent="0.3">
      <c r="A12" s="30">
        <v>9</v>
      </c>
      <c r="B12" s="30" t="s">
        <v>45</v>
      </c>
      <c r="C12" s="30" t="s">
        <v>44</v>
      </c>
      <c r="D12" s="35">
        <v>1000000</v>
      </c>
    </row>
    <row r="13" spans="1:12" x14ac:dyDescent="0.3">
      <c r="A13" s="30">
        <v>10</v>
      </c>
      <c r="B13" s="30" t="s">
        <v>46</v>
      </c>
      <c r="C13" s="30" t="s">
        <v>47</v>
      </c>
      <c r="D13" s="31">
        <f>D12/D11*12</f>
        <v>30.630839665561609</v>
      </c>
    </row>
    <row r="14" spans="1:12" ht="18" x14ac:dyDescent="0.4">
      <c r="A14" s="30">
        <v>11</v>
      </c>
      <c r="B14" s="30" t="s">
        <v>48</v>
      </c>
      <c r="C14" s="30" t="s">
        <v>49</v>
      </c>
      <c r="D14" s="35">
        <f>D9*0.6766</f>
        <v>140420.2108</v>
      </c>
      <c r="H14" s="3">
        <f>D12*-1</f>
        <v>-1000000</v>
      </c>
      <c r="I14" s="3"/>
      <c r="J14" s="3"/>
      <c r="K14" s="3"/>
      <c r="L14" s="3"/>
    </row>
    <row r="15" spans="1:12" x14ac:dyDescent="0.3">
      <c r="A15" s="30">
        <v>12</v>
      </c>
      <c r="B15" s="30" t="s">
        <v>50</v>
      </c>
      <c r="C15" s="30" t="s">
        <v>35</v>
      </c>
      <c r="D15" s="36">
        <f>G15</f>
        <v>0.27590097015502302</v>
      </c>
      <c r="F15" t="s">
        <v>55</v>
      </c>
      <c r="G15" s="27">
        <f>IRR(H14:H19,10%)</f>
        <v>0.27590097015502302</v>
      </c>
      <c r="H15" s="3">
        <f>D11</f>
        <v>391762.03235106391</v>
      </c>
    </row>
    <row r="16" spans="1:12" ht="18.600000000000001" x14ac:dyDescent="0.3">
      <c r="A16" s="30">
        <v>13</v>
      </c>
      <c r="B16" s="30" t="s">
        <v>51</v>
      </c>
      <c r="C16" s="30" t="s">
        <v>52</v>
      </c>
      <c r="D16" s="31">
        <f>G16</f>
        <v>272388.77735037118</v>
      </c>
      <c r="F16" t="s">
        <v>56</v>
      </c>
      <c r="G16" s="29">
        <f>NPV(15%,H14:H19)</f>
        <v>272388.77735037118</v>
      </c>
      <c r="H16" s="3">
        <f>H15</f>
        <v>391762.03235106391</v>
      </c>
    </row>
    <row r="17" spans="8:8" ht="14.55" x14ac:dyDescent="0.35">
      <c r="H17" s="3">
        <f t="shared" ref="H17:H19" si="0">H16</f>
        <v>391762.03235106391</v>
      </c>
    </row>
    <row r="18" spans="8:8" ht="14.55" x14ac:dyDescent="0.35">
      <c r="H18" s="3">
        <f t="shared" si="0"/>
        <v>391762.03235106391</v>
      </c>
    </row>
    <row r="19" spans="8:8" ht="14.55" x14ac:dyDescent="0.35">
      <c r="H19" s="3">
        <f t="shared" si="0"/>
        <v>391762.03235106391</v>
      </c>
    </row>
  </sheetData>
  <mergeCells count="2">
    <mergeCell ref="A2:D2"/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B11" sqref="B11"/>
    </sheetView>
  </sheetViews>
  <sheetFormatPr defaultRowHeight="14.4" x14ac:dyDescent="0.3"/>
  <cols>
    <col min="1" max="1" width="5.21875" customWidth="1"/>
    <col min="2" max="2" width="97.33203125" bestFit="1" customWidth="1"/>
    <col min="3" max="3" width="8.44140625" bestFit="1" customWidth="1"/>
    <col min="4" max="4" width="14.6640625" bestFit="1" customWidth="1"/>
    <col min="7" max="7" width="11.44140625" bestFit="1" customWidth="1"/>
    <col min="8" max="8" width="10.6640625" bestFit="1" customWidth="1"/>
  </cols>
  <sheetData>
    <row r="1" spans="1:12" ht="17.399999999999999" x14ac:dyDescent="0.3">
      <c r="A1" s="68" t="s">
        <v>113</v>
      </c>
      <c r="B1" s="68"/>
      <c r="C1" s="68"/>
      <c r="D1" s="68"/>
    </row>
    <row r="2" spans="1:12" ht="15.6" x14ac:dyDescent="0.3">
      <c r="A2" s="67" t="s">
        <v>112</v>
      </c>
      <c r="B2" s="67"/>
      <c r="C2" s="67"/>
      <c r="D2" s="67"/>
    </row>
    <row r="3" spans="1:12" ht="15.6" x14ac:dyDescent="0.3">
      <c r="A3" s="40" t="s">
        <v>57</v>
      </c>
      <c r="B3" s="40" t="s">
        <v>31</v>
      </c>
      <c r="C3" s="41" t="s">
        <v>32</v>
      </c>
      <c r="D3" s="41" t="s">
        <v>33</v>
      </c>
    </row>
    <row r="4" spans="1:12" x14ac:dyDescent="0.3">
      <c r="A4" s="30">
        <v>1</v>
      </c>
      <c r="B4" s="30" t="s">
        <v>58</v>
      </c>
      <c r="C4" s="30" t="s">
        <v>35</v>
      </c>
      <c r="D4" s="32">
        <v>0.02</v>
      </c>
    </row>
    <row r="5" spans="1:12" x14ac:dyDescent="0.3">
      <c r="A5" s="30">
        <v>2</v>
      </c>
      <c r="B5" s="30" t="s">
        <v>39</v>
      </c>
      <c r="C5" s="30" t="s">
        <v>3</v>
      </c>
      <c r="D5" s="34">
        <f>'Tiêu thụ điện'!E41</f>
        <v>13835851</v>
      </c>
    </row>
    <row r="6" spans="1:12" x14ac:dyDescent="0.3">
      <c r="A6" s="30">
        <v>3</v>
      </c>
      <c r="B6" s="30" t="s">
        <v>40</v>
      </c>
      <c r="C6" s="30" t="s">
        <v>3</v>
      </c>
      <c r="D6" s="34">
        <f>D5*D4</f>
        <v>276717.02</v>
      </c>
    </row>
    <row r="7" spans="1:12" x14ac:dyDescent="0.3">
      <c r="A7" s="30">
        <v>4</v>
      </c>
      <c r="B7" s="30" t="s">
        <v>38</v>
      </c>
      <c r="C7" s="30" t="s">
        <v>42</v>
      </c>
      <c r="D7" s="34">
        <f>'Tiêu thụ điện'!$G$42</f>
        <v>2883.2517904720789</v>
      </c>
    </row>
    <row r="8" spans="1:12" x14ac:dyDescent="0.3">
      <c r="A8" s="30">
        <v>5</v>
      </c>
      <c r="B8" s="30" t="s">
        <v>60</v>
      </c>
      <c r="C8" s="30" t="s">
        <v>42</v>
      </c>
      <c r="D8" s="34">
        <f>'Tiêu thụ điện'!$F$42</f>
        <v>1674.7773401541776</v>
      </c>
    </row>
    <row r="9" spans="1:12" x14ac:dyDescent="0.3">
      <c r="A9" s="30">
        <v>6</v>
      </c>
      <c r="B9" s="30" t="s">
        <v>59</v>
      </c>
      <c r="C9" s="30" t="s">
        <v>42</v>
      </c>
      <c r="D9" s="31">
        <f>D7-D8</f>
        <v>1208.4744503179013</v>
      </c>
    </row>
    <row r="10" spans="1:12" ht="18.600000000000001" x14ac:dyDescent="0.3">
      <c r="A10" s="30">
        <v>7</v>
      </c>
      <c r="B10" s="30" t="s">
        <v>43</v>
      </c>
      <c r="C10" s="30" t="s">
        <v>44</v>
      </c>
      <c r="D10" s="35">
        <f>D6*D9/1000</f>
        <v>334405.44863810774</v>
      </c>
    </row>
    <row r="11" spans="1:12" ht="18.600000000000001" x14ac:dyDescent="0.3">
      <c r="A11" s="30">
        <v>8</v>
      </c>
      <c r="B11" s="30" t="s">
        <v>45</v>
      </c>
      <c r="C11" s="30" t="s">
        <v>44</v>
      </c>
      <c r="D11" s="35">
        <v>0</v>
      </c>
    </row>
    <row r="12" spans="1:12" x14ac:dyDescent="0.3">
      <c r="A12" s="30">
        <v>9</v>
      </c>
      <c r="B12" s="30" t="s">
        <v>46</v>
      </c>
      <c r="C12" s="30" t="s">
        <v>47</v>
      </c>
      <c r="D12" s="31">
        <f>D11/D10*12</f>
        <v>0</v>
      </c>
    </row>
    <row r="13" spans="1:12" ht="18" x14ac:dyDescent="0.4">
      <c r="A13" s="30">
        <v>10</v>
      </c>
      <c r="B13" s="30" t="s">
        <v>48</v>
      </c>
      <c r="C13" s="30" t="s">
        <v>49</v>
      </c>
      <c r="D13" s="35">
        <f>D6*0.6766</f>
        <v>187226.735732</v>
      </c>
      <c r="H13" s="3">
        <f>D11*-1</f>
        <v>0</v>
      </c>
      <c r="I13" s="3"/>
      <c r="J13" s="3"/>
      <c r="K13" s="3"/>
      <c r="L13" s="3"/>
    </row>
    <row r="14" spans="1:12" x14ac:dyDescent="0.3">
      <c r="A14" s="30">
        <v>11</v>
      </c>
      <c r="B14" s="30" t="s">
        <v>50</v>
      </c>
      <c r="C14" s="30" t="s">
        <v>35</v>
      </c>
      <c r="D14" s="36" t="e">
        <f>G14</f>
        <v>#NUM!</v>
      </c>
      <c r="F14" t="s">
        <v>55</v>
      </c>
      <c r="G14" s="27" t="e">
        <f>IRR(H13:H18,10%)</f>
        <v>#NUM!</v>
      </c>
      <c r="H14" s="3">
        <f>D10</f>
        <v>334405.44863810774</v>
      </c>
    </row>
    <row r="15" spans="1:12" ht="18.600000000000001" x14ac:dyDescent="0.3">
      <c r="A15" s="30">
        <v>12</v>
      </c>
      <c r="B15" s="30" t="s">
        <v>51</v>
      </c>
      <c r="C15" s="30" t="s">
        <v>52</v>
      </c>
      <c r="D15" s="31">
        <f>G15</f>
        <v>974764.28648262902</v>
      </c>
      <c r="F15" t="s">
        <v>56</v>
      </c>
      <c r="G15" s="29">
        <f>NPV(15%,H13:H18)</f>
        <v>974764.28648262902</v>
      </c>
      <c r="H15" s="3">
        <f>H14</f>
        <v>334405.44863810774</v>
      </c>
    </row>
    <row r="16" spans="1:12" ht="14.55" x14ac:dyDescent="0.35">
      <c r="H16" s="3">
        <f t="shared" ref="H16:H18" si="0">H15</f>
        <v>334405.44863810774</v>
      </c>
    </row>
    <row r="17" spans="8:8" ht="14.55" x14ac:dyDescent="0.35">
      <c r="H17" s="3">
        <f t="shared" si="0"/>
        <v>334405.44863810774</v>
      </c>
    </row>
    <row r="18" spans="8:8" ht="14.55" x14ac:dyDescent="0.35">
      <c r="H18" s="3">
        <f t="shared" si="0"/>
        <v>334405.44863810774</v>
      </c>
    </row>
  </sheetData>
  <mergeCells count="2">
    <mergeCell ref="A2:D2"/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activeCell="B11" sqref="B11"/>
    </sheetView>
  </sheetViews>
  <sheetFormatPr defaultRowHeight="14.4" x14ac:dyDescent="0.3"/>
  <cols>
    <col min="1" max="1" width="5.21875" customWidth="1"/>
    <col min="2" max="2" width="97.33203125" bestFit="1" customWidth="1"/>
    <col min="3" max="3" width="8.44140625" bestFit="1" customWidth="1"/>
    <col min="4" max="4" width="14.6640625" bestFit="1" customWidth="1"/>
    <col min="7" max="7" width="13.6640625" bestFit="1" customWidth="1"/>
    <col min="8" max="8" width="11.6640625" bestFit="1" customWidth="1"/>
  </cols>
  <sheetData>
    <row r="1" spans="1:12" ht="17.399999999999999" x14ac:dyDescent="0.3">
      <c r="A1" s="68" t="s">
        <v>123</v>
      </c>
      <c r="B1" s="68"/>
      <c r="C1" s="68"/>
      <c r="D1" s="68"/>
    </row>
    <row r="2" spans="1:12" ht="15.6" x14ac:dyDescent="0.3">
      <c r="A2" s="67" t="s">
        <v>112</v>
      </c>
      <c r="B2" s="67"/>
      <c r="C2" s="67"/>
      <c r="D2" s="67"/>
    </row>
    <row r="3" spans="1:12" ht="15.6" x14ac:dyDescent="0.3">
      <c r="A3" s="40" t="s">
        <v>57</v>
      </c>
      <c r="B3" s="40" t="s">
        <v>31</v>
      </c>
      <c r="C3" s="41" t="s">
        <v>32</v>
      </c>
      <c r="D3" s="41" t="s">
        <v>33</v>
      </c>
    </row>
    <row r="4" spans="1:12" x14ac:dyDescent="0.3">
      <c r="A4" s="30">
        <v>1</v>
      </c>
      <c r="B4" s="30" t="s">
        <v>110</v>
      </c>
      <c r="C4" s="30" t="s">
        <v>3</v>
      </c>
      <c r="D4" s="34">
        <v>4161600</v>
      </c>
    </row>
    <row r="5" spans="1:12" x14ac:dyDescent="0.3">
      <c r="A5" s="30">
        <v>2</v>
      </c>
      <c r="B5" s="30" t="s">
        <v>41</v>
      </c>
      <c r="C5" s="30" t="s">
        <v>42</v>
      </c>
      <c r="D5" s="31">
        <f>'Tiêu thụ điện'!$J$41</f>
        <v>1887.6641017599857</v>
      </c>
    </row>
    <row r="6" spans="1:12" ht="18.600000000000001" x14ac:dyDescent="0.3">
      <c r="A6" s="30">
        <v>3</v>
      </c>
      <c r="B6" s="30" t="s">
        <v>43</v>
      </c>
      <c r="C6" s="30" t="s">
        <v>44</v>
      </c>
      <c r="D6" s="35">
        <f>D4*D5/1000</f>
        <v>7855702.9258843567</v>
      </c>
    </row>
    <row r="7" spans="1:12" ht="18.600000000000001" x14ac:dyDescent="0.3">
      <c r="A7" s="30">
        <v>4</v>
      </c>
      <c r="B7" s="30" t="s">
        <v>38</v>
      </c>
      <c r="C7" s="30" t="s">
        <v>44</v>
      </c>
      <c r="D7" s="35">
        <v>45000000</v>
      </c>
    </row>
    <row r="8" spans="1:12" x14ac:dyDescent="0.3">
      <c r="A8" s="30">
        <v>5</v>
      </c>
      <c r="B8" s="30" t="s">
        <v>46</v>
      </c>
      <c r="C8" s="30" t="s">
        <v>47</v>
      </c>
      <c r="D8" s="31">
        <f>D7/D6*12</f>
        <v>68.739870269369874</v>
      </c>
    </row>
    <row r="9" spans="1:12" ht="18" x14ac:dyDescent="0.4">
      <c r="A9" s="30">
        <v>6</v>
      </c>
      <c r="B9" s="30" t="s">
        <v>48</v>
      </c>
      <c r="C9" s="30" t="s">
        <v>49</v>
      </c>
      <c r="D9" s="35">
        <f>D4*0.6766</f>
        <v>2815738.56</v>
      </c>
      <c r="H9" s="3">
        <f>D7*-1</f>
        <v>-45000000</v>
      </c>
      <c r="I9" s="3"/>
      <c r="J9" s="3"/>
      <c r="K9" s="3"/>
      <c r="L9" s="3"/>
    </row>
    <row r="10" spans="1:12" x14ac:dyDescent="0.3">
      <c r="A10" s="30">
        <v>7</v>
      </c>
      <c r="B10" s="30" t="s">
        <v>50</v>
      </c>
      <c r="C10" s="30" t="s">
        <v>35</v>
      </c>
      <c r="D10" s="36">
        <f>G10</f>
        <v>0.11665984554210596</v>
      </c>
      <c r="F10" t="s">
        <v>55</v>
      </c>
      <c r="G10" s="27">
        <f>IRR(H9:H19,10%)</f>
        <v>0.11665984554210596</v>
      </c>
      <c r="H10" s="3">
        <f>D6</f>
        <v>7855702.9258843567</v>
      </c>
    </row>
    <row r="11" spans="1:12" ht="18.600000000000001" x14ac:dyDescent="0.3">
      <c r="A11" s="30">
        <v>8</v>
      </c>
      <c r="B11" s="30" t="s">
        <v>109</v>
      </c>
      <c r="C11" s="30" t="s">
        <v>52</v>
      </c>
      <c r="D11" s="31">
        <f>G11</f>
        <v>2972630.7187063885</v>
      </c>
      <c r="F11" t="s">
        <v>56</v>
      </c>
      <c r="G11" s="29">
        <f>NPV(10%,H9:H19)</f>
        <v>2972630.7187063885</v>
      </c>
      <c r="H11" s="3">
        <f>H10</f>
        <v>7855702.9258843567</v>
      </c>
    </row>
    <row r="12" spans="1:12" ht="14.55" x14ac:dyDescent="0.35">
      <c r="H12" s="3">
        <f t="shared" ref="H12:H19" si="0">H11</f>
        <v>7855702.9258843567</v>
      </c>
    </row>
    <row r="13" spans="1:12" ht="14.55" x14ac:dyDescent="0.35">
      <c r="H13" s="3">
        <f t="shared" si="0"/>
        <v>7855702.9258843567</v>
      </c>
    </row>
    <row r="14" spans="1:12" ht="14.55" x14ac:dyDescent="0.35">
      <c r="H14" s="3">
        <f t="shared" si="0"/>
        <v>7855702.9258843567</v>
      </c>
    </row>
    <row r="15" spans="1:12" ht="14.55" x14ac:dyDescent="0.35">
      <c r="H15" s="3">
        <f t="shared" si="0"/>
        <v>7855702.9258843567</v>
      </c>
    </row>
    <row r="16" spans="1:12" ht="14.55" x14ac:dyDescent="0.35">
      <c r="H16" s="3">
        <f t="shared" si="0"/>
        <v>7855702.9258843567</v>
      </c>
    </row>
    <row r="17" spans="8:8" ht="14.55" x14ac:dyDescent="0.35">
      <c r="H17" s="3">
        <f t="shared" si="0"/>
        <v>7855702.9258843567</v>
      </c>
    </row>
    <row r="18" spans="8:8" ht="14.55" x14ac:dyDescent="0.35">
      <c r="H18" s="3">
        <f t="shared" si="0"/>
        <v>7855702.9258843567</v>
      </c>
    </row>
    <row r="19" spans="8:8" ht="14.55" x14ac:dyDescent="0.35">
      <c r="H19" s="3">
        <f t="shared" si="0"/>
        <v>7855702.9258843567</v>
      </c>
    </row>
    <row r="20" spans="8:8" ht="14.55" x14ac:dyDescent="0.35">
      <c r="H20" s="3"/>
    </row>
  </sheetData>
  <mergeCells count="2">
    <mergeCell ref="A2:D2"/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topLeftCell="B2" workbookViewId="0">
      <selection activeCell="B9" sqref="B9"/>
    </sheetView>
  </sheetViews>
  <sheetFormatPr defaultRowHeight="14.4" x14ac:dyDescent="0.3"/>
  <cols>
    <col min="1" max="1" width="5.21875" customWidth="1"/>
    <col min="2" max="2" width="97.33203125" bestFit="1" customWidth="1"/>
    <col min="3" max="3" width="8.44140625" bestFit="1" customWidth="1"/>
    <col min="4" max="4" width="14.6640625" bestFit="1" customWidth="1"/>
    <col min="7" max="7" width="13.6640625" bestFit="1" customWidth="1"/>
    <col min="8" max="8" width="11.6640625" bestFit="1" customWidth="1"/>
  </cols>
  <sheetData>
    <row r="1" spans="1:12" ht="17.399999999999999" x14ac:dyDescent="0.3">
      <c r="A1" s="68" t="s">
        <v>124</v>
      </c>
      <c r="B1" s="68"/>
      <c r="C1" s="68"/>
      <c r="D1" s="68"/>
    </row>
    <row r="2" spans="1:12" ht="15.6" x14ac:dyDescent="0.3">
      <c r="A2" s="67" t="s">
        <v>112</v>
      </c>
      <c r="B2" s="67"/>
      <c r="C2" s="67"/>
      <c r="D2" s="67"/>
    </row>
    <row r="3" spans="1:12" ht="15.6" x14ac:dyDescent="0.3">
      <c r="A3" s="40" t="s">
        <v>57</v>
      </c>
      <c r="B3" s="40" t="s">
        <v>31</v>
      </c>
      <c r="C3" s="41" t="s">
        <v>32</v>
      </c>
      <c r="D3" s="41" t="s">
        <v>33</v>
      </c>
    </row>
    <row r="4" spans="1:12" x14ac:dyDescent="0.3">
      <c r="A4" s="30">
        <v>1</v>
      </c>
      <c r="B4" s="30" t="s">
        <v>110</v>
      </c>
      <c r="C4" s="30" t="s">
        <v>3</v>
      </c>
      <c r="D4" s="34">
        <v>4161600</v>
      </c>
    </row>
    <row r="5" spans="1:12" x14ac:dyDescent="0.3">
      <c r="A5" s="30">
        <v>2</v>
      </c>
      <c r="B5" s="30" t="s">
        <v>41</v>
      </c>
      <c r="C5" s="30" t="s">
        <v>42</v>
      </c>
      <c r="D5" s="31">
        <f>'Tiêu thụ điện'!$J$41*10%</f>
        <v>188.76641017599857</v>
      </c>
    </row>
    <row r="6" spans="1:12" ht="18.600000000000001" x14ac:dyDescent="0.3">
      <c r="A6" s="30">
        <v>3</v>
      </c>
      <c r="B6" s="30" t="s">
        <v>43</v>
      </c>
      <c r="C6" s="30" t="s">
        <v>44</v>
      </c>
      <c r="D6" s="35">
        <f>D4*D5/1000</f>
        <v>785570.2925884357</v>
      </c>
    </row>
    <row r="7" spans="1:12" ht="18.600000000000001" x14ac:dyDescent="0.3">
      <c r="A7" s="30">
        <v>4</v>
      </c>
      <c r="B7" s="30" t="s">
        <v>38</v>
      </c>
      <c r="C7" s="30" t="s">
        <v>44</v>
      </c>
      <c r="D7" s="35">
        <v>10000</v>
      </c>
    </row>
    <row r="8" spans="1:12" x14ac:dyDescent="0.3">
      <c r="A8" s="30">
        <v>5</v>
      </c>
      <c r="B8" s="30" t="s">
        <v>46</v>
      </c>
      <c r="C8" s="30" t="s">
        <v>47</v>
      </c>
      <c r="D8" s="31">
        <f>D7/D6*12</f>
        <v>0.15275526726526639</v>
      </c>
    </row>
    <row r="9" spans="1:12" ht="18" x14ac:dyDescent="0.4">
      <c r="A9" s="30">
        <v>6</v>
      </c>
      <c r="B9" s="30" t="s">
        <v>48</v>
      </c>
      <c r="C9" s="30" t="s">
        <v>49</v>
      </c>
      <c r="D9" s="35">
        <f>D4*0.6766</f>
        <v>2815738.56</v>
      </c>
      <c r="H9" s="3">
        <f>D7*-1</f>
        <v>-10000</v>
      </c>
      <c r="I9" s="3"/>
      <c r="J9" s="3"/>
      <c r="K9" s="3"/>
      <c r="L9" s="3"/>
    </row>
    <row r="10" spans="1:12" x14ac:dyDescent="0.3">
      <c r="A10" s="30">
        <v>7</v>
      </c>
      <c r="B10" s="30" t="s">
        <v>50</v>
      </c>
      <c r="C10" s="30" t="s">
        <v>35</v>
      </c>
      <c r="D10" s="36">
        <f>G10</f>
        <v>78.557029258843485</v>
      </c>
      <c r="F10" t="s">
        <v>55</v>
      </c>
      <c r="G10" s="27">
        <f>IRR(H9:H19,10%)</f>
        <v>78.557029258843485</v>
      </c>
      <c r="H10" s="3">
        <f>D6</f>
        <v>785570.2925884357</v>
      </c>
    </row>
    <row r="11" spans="1:12" ht="18.600000000000001" x14ac:dyDescent="0.3">
      <c r="A11" s="30">
        <v>8</v>
      </c>
      <c r="B11" s="30" t="s">
        <v>109</v>
      </c>
      <c r="C11" s="30" t="s">
        <v>52</v>
      </c>
      <c r="D11" s="31">
        <f>G11</f>
        <v>4379081.2536888206</v>
      </c>
      <c r="F11" t="s">
        <v>56</v>
      </c>
      <c r="G11" s="29">
        <f>NPV(10%,H9:H19)</f>
        <v>4379081.2536888206</v>
      </c>
      <c r="H11" s="3">
        <f>H10</f>
        <v>785570.2925884357</v>
      </c>
    </row>
    <row r="12" spans="1:12" ht="14.55" x14ac:dyDescent="0.35">
      <c r="H12" s="3">
        <f t="shared" ref="H12:H19" si="0">H11</f>
        <v>785570.2925884357</v>
      </c>
    </row>
    <row r="13" spans="1:12" ht="14.55" x14ac:dyDescent="0.35">
      <c r="H13" s="3">
        <f t="shared" si="0"/>
        <v>785570.2925884357</v>
      </c>
    </row>
    <row r="14" spans="1:12" ht="14.55" x14ac:dyDescent="0.35">
      <c r="H14" s="3">
        <f t="shared" si="0"/>
        <v>785570.2925884357</v>
      </c>
    </row>
    <row r="15" spans="1:12" ht="14.55" x14ac:dyDescent="0.35">
      <c r="H15" s="3">
        <f t="shared" si="0"/>
        <v>785570.2925884357</v>
      </c>
    </row>
    <row r="16" spans="1:12" ht="14.55" x14ac:dyDescent="0.35">
      <c r="H16" s="3">
        <f t="shared" si="0"/>
        <v>785570.2925884357</v>
      </c>
    </row>
    <row r="17" spans="8:8" ht="14.55" x14ac:dyDescent="0.35">
      <c r="H17" s="3">
        <f t="shared" si="0"/>
        <v>785570.2925884357</v>
      </c>
    </row>
    <row r="18" spans="8:8" ht="14.55" x14ac:dyDescent="0.35">
      <c r="H18" s="3">
        <f t="shared" si="0"/>
        <v>785570.2925884357</v>
      </c>
    </row>
    <row r="19" spans="8:8" ht="14.55" x14ac:dyDescent="0.35">
      <c r="H19" s="3">
        <f t="shared" si="0"/>
        <v>785570.2925884357</v>
      </c>
    </row>
    <row r="20" spans="8:8" ht="14.55" x14ac:dyDescent="0.35">
      <c r="H20" s="3"/>
    </row>
  </sheetData>
  <mergeCells count="2">
    <mergeCell ref="A2:D2"/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opLeftCell="A10" workbookViewId="0">
      <selection activeCell="B12" sqref="B12"/>
    </sheetView>
  </sheetViews>
  <sheetFormatPr defaultRowHeight="14.4" x14ac:dyDescent="0.3"/>
  <cols>
    <col min="1" max="1" width="5.21875" customWidth="1"/>
    <col min="2" max="2" width="97.33203125" bestFit="1" customWidth="1"/>
    <col min="3" max="3" width="8.44140625" bestFit="1" customWidth="1"/>
    <col min="4" max="4" width="14.6640625" bestFit="1" customWidth="1"/>
    <col min="6" max="6" width="11.109375" style="1" bestFit="1" customWidth="1"/>
    <col min="7" max="7" width="11.44140625" bestFit="1" customWidth="1"/>
    <col min="8" max="8" width="10.6640625" bestFit="1" customWidth="1"/>
  </cols>
  <sheetData>
    <row r="1" spans="1:12" ht="17.399999999999999" x14ac:dyDescent="0.3">
      <c r="A1" s="68" t="s">
        <v>114</v>
      </c>
      <c r="B1" s="68"/>
      <c r="C1" s="68"/>
      <c r="D1" s="68"/>
    </row>
    <row r="2" spans="1:12" ht="15.6" x14ac:dyDescent="0.3">
      <c r="A2" s="67" t="s">
        <v>112</v>
      </c>
      <c r="B2" s="67"/>
      <c r="C2" s="67"/>
      <c r="D2" s="67"/>
    </row>
    <row r="3" spans="1:12" ht="15.6" x14ac:dyDescent="0.3">
      <c r="A3" s="40" t="s">
        <v>57</v>
      </c>
      <c r="B3" s="40" t="s">
        <v>31</v>
      </c>
      <c r="C3" s="41" t="s">
        <v>32</v>
      </c>
      <c r="D3" s="41" t="s">
        <v>33</v>
      </c>
    </row>
    <row r="4" spans="1:12" x14ac:dyDescent="0.3">
      <c r="A4" s="30">
        <v>1</v>
      </c>
      <c r="B4" s="30" t="s">
        <v>62</v>
      </c>
      <c r="C4" s="30" t="s">
        <v>63</v>
      </c>
      <c r="D4" s="31">
        <v>5</v>
      </c>
    </row>
    <row r="5" spans="1:12" x14ac:dyDescent="0.3">
      <c r="A5" s="30">
        <v>2</v>
      </c>
      <c r="B5" s="30" t="s">
        <v>64</v>
      </c>
      <c r="C5" s="30" t="s">
        <v>65</v>
      </c>
      <c r="D5" s="31">
        <v>120</v>
      </c>
    </row>
    <row r="6" spans="1:12" x14ac:dyDescent="0.3">
      <c r="A6" s="30">
        <v>3</v>
      </c>
      <c r="B6" s="30" t="s">
        <v>66</v>
      </c>
      <c r="C6" s="30" t="s">
        <v>67</v>
      </c>
      <c r="D6" s="31">
        <v>10</v>
      </c>
    </row>
    <row r="7" spans="1:12" x14ac:dyDescent="0.3">
      <c r="A7" s="30">
        <v>4</v>
      </c>
      <c r="B7" s="30" t="s">
        <v>38</v>
      </c>
      <c r="C7" s="30" t="s">
        <v>69</v>
      </c>
      <c r="D7" s="31">
        <v>301</v>
      </c>
    </row>
    <row r="8" spans="1:12" x14ac:dyDescent="0.3">
      <c r="A8" s="30">
        <v>5</v>
      </c>
      <c r="B8" s="30" t="s">
        <v>77</v>
      </c>
      <c r="C8" s="30" t="s">
        <v>35</v>
      </c>
      <c r="D8" s="32">
        <v>0.1</v>
      </c>
    </row>
    <row r="9" spans="1:12" x14ac:dyDescent="0.3">
      <c r="A9" s="30">
        <v>6</v>
      </c>
      <c r="B9" s="30" t="s">
        <v>68</v>
      </c>
      <c r="C9" s="30" t="s">
        <v>3</v>
      </c>
      <c r="D9" s="34">
        <f>D4*D5*D6*D7</f>
        <v>1806000</v>
      </c>
    </row>
    <row r="10" spans="1:12" x14ac:dyDescent="0.3">
      <c r="A10" s="30">
        <v>7</v>
      </c>
      <c r="B10" s="30" t="s">
        <v>40</v>
      </c>
      <c r="C10" s="30" t="s">
        <v>3</v>
      </c>
      <c r="D10" s="34">
        <f>D9*D8</f>
        <v>180600</v>
      </c>
    </row>
    <row r="11" spans="1:12" x14ac:dyDescent="0.3">
      <c r="A11" s="30">
        <v>8</v>
      </c>
      <c r="B11" s="30" t="s">
        <v>41</v>
      </c>
      <c r="C11" s="30" t="s">
        <v>42</v>
      </c>
      <c r="D11" s="31">
        <f>'Tiêu thụ điện'!$J$41</f>
        <v>1887.6641017599857</v>
      </c>
    </row>
    <row r="12" spans="1:12" ht="18.600000000000001" x14ac:dyDescent="0.3">
      <c r="A12" s="30">
        <v>9</v>
      </c>
      <c r="B12" s="30" t="s">
        <v>43</v>
      </c>
      <c r="C12" s="30" t="s">
        <v>44</v>
      </c>
      <c r="D12" s="35">
        <f>D10*D11/1000</f>
        <v>340912.13677785342</v>
      </c>
    </row>
    <row r="13" spans="1:12" ht="18.600000000000001" x14ac:dyDescent="0.3">
      <c r="A13" s="30">
        <v>10</v>
      </c>
      <c r="B13" s="30" t="s">
        <v>45</v>
      </c>
      <c r="C13" s="30" t="s">
        <v>44</v>
      </c>
      <c r="D13" s="35">
        <f>F23</f>
        <v>12000</v>
      </c>
    </row>
    <row r="14" spans="1:12" x14ac:dyDescent="0.3">
      <c r="A14" s="30">
        <v>11</v>
      </c>
      <c r="B14" s="30" t="s">
        <v>46</v>
      </c>
      <c r="C14" s="30" t="s">
        <v>47</v>
      </c>
      <c r="D14" s="31">
        <f>D13/D12*12</f>
        <v>0.42239622608048677</v>
      </c>
    </row>
    <row r="15" spans="1:12" ht="18" x14ac:dyDescent="0.4">
      <c r="A15" s="30">
        <v>12</v>
      </c>
      <c r="B15" s="30" t="s">
        <v>48</v>
      </c>
      <c r="C15" s="30" t="s">
        <v>49</v>
      </c>
      <c r="D15" s="35">
        <f>D10*0.6766</f>
        <v>122193.95999999999</v>
      </c>
      <c r="H15" s="3">
        <f>D13*-1</f>
        <v>-12000</v>
      </c>
      <c r="I15" s="3"/>
      <c r="J15" s="3"/>
      <c r="K15" s="3"/>
      <c r="L15" s="3"/>
    </row>
    <row r="16" spans="1:12" x14ac:dyDescent="0.3">
      <c r="A16" s="30">
        <v>13</v>
      </c>
      <c r="B16" s="30" t="s">
        <v>50</v>
      </c>
      <c r="C16" s="30" t="s">
        <v>35</v>
      </c>
      <c r="D16" s="36">
        <f>G16</f>
        <v>14.409328146050528</v>
      </c>
      <c r="F16" s="1" t="s">
        <v>55</v>
      </c>
      <c r="G16" s="27">
        <f>IRR(H15:H20,10%)</f>
        <v>14.409328146050528</v>
      </c>
      <c r="H16" s="3">
        <f>D12-F24-F25</f>
        <v>172912.13677785342</v>
      </c>
    </row>
    <row r="17" spans="1:8" ht="18.600000000000001" x14ac:dyDescent="0.3">
      <c r="A17" s="30">
        <v>14</v>
      </c>
      <c r="B17" s="30" t="s">
        <v>51</v>
      </c>
      <c r="C17" s="30" t="s">
        <v>52</v>
      </c>
      <c r="D17" s="31">
        <f>G17</f>
        <v>493589.82678950112</v>
      </c>
      <c r="F17" s="1" t="s">
        <v>56</v>
      </c>
      <c r="G17" s="29">
        <f>NPV(15%,H15:H20)</f>
        <v>493589.82678950112</v>
      </c>
      <c r="H17" s="3">
        <f>H16</f>
        <v>172912.13677785342</v>
      </c>
    </row>
    <row r="18" spans="1:8" ht="14.55" x14ac:dyDescent="0.35">
      <c r="H18" s="3">
        <f t="shared" ref="H18:H20" si="0">H17</f>
        <v>172912.13677785342</v>
      </c>
    </row>
    <row r="19" spans="1:8" ht="14.55" x14ac:dyDescent="0.35">
      <c r="H19" s="3">
        <f t="shared" si="0"/>
        <v>172912.13677785342</v>
      </c>
    </row>
    <row r="20" spans="1:8" ht="14.55" x14ac:dyDescent="0.35">
      <c r="H20" s="3">
        <f t="shared" si="0"/>
        <v>172912.13677785342</v>
      </c>
    </row>
    <row r="21" spans="1:8" x14ac:dyDescent="0.3">
      <c r="B21" t="s">
        <v>71</v>
      </c>
    </row>
    <row r="23" spans="1:8" x14ac:dyDescent="0.3">
      <c r="B23" t="s">
        <v>70</v>
      </c>
      <c r="C23" t="s">
        <v>72</v>
      </c>
      <c r="D23">
        <v>6</v>
      </c>
      <c r="E23">
        <v>2000</v>
      </c>
      <c r="F23" s="1">
        <f>D23*E23</f>
        <v>12000</v>
      </c>
    </row>
    <row r="24" spans="1:8" x14ac:dyDescent="0.3">
      <c r="B24" t="s">
        <v>73</v>
      </c>
      <c r="C24" t="s">
        <v>75</v>
      </c>
      <c r="D24">
        <f>6*52</f>
        <v>312</v>
      </c>
      <c r="E24">
        <v>500</v>
      </c>
      <c r="F24" s="1">
        <f>D24*E24</f>
        <v>156000</v>
      </c>
    </row>
    <row r="25" spans="1:8" x14ac:dyDescent="0.3">
      <c r="B25" t="s">
        <v>74</v>
      </c>
      <c r="C25" t="s">
        <v>76</v>
      </c>
      <c r="D25">
        <v>1</v>
      </c>
      <c r="E25">
        <v>12000</v>
      </c>
      <c r="F25" s="1">
        <f>D25*E25</f>
        <v>12000</v>
      </c>
    </row>
  </sheetData>
  <mergeCells count="2">
    <mergeCell ref="A2:D2"/>
    <mergeCell ref="A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activeCell="B11" sqref="B11"/>
    </sheetView>
  </sheetViews>
  <sheetFormatPr defaultRowHeight="14.4" x14ac:dyDescent="0.3"/>
  <cols>
    <col min="1" max="1" width="5.21875" customWidth="1"/>
    <col min="2" max="2" width="97.33203125" bestFit="1" customWidth="1"/>
    <col min="3" max="3" width="8.44140625" bestFit="1" customWidth="1"/>
    <col min="4" max="4" width="14.6640625" bestFit="1" customWidth="1"/>
    <col min="6" max="6" width="11.109375" style="1" bestFit="1" customWidth="1"/>
    <col min="7" max="7" width="11.44140625" bestFit="1" customWidth="1"/>
    <col min="8" max="8" width="10.6640625" bestFit="1" customWidth="1"/>
  </cols>
  <sheetData>
    <row r="1" spans="1:12" ht="17.399999999999999" x14ac:dyDescent="0.3">
      <c r="A1" s="68" t="s">
        <v>115</v>
      </c>
      <c r="B1" s="68"/>
      <c r="C1" s="68"/>
      <c r="D1" s="68"/>
    </row>
    <row r="2" spans="1:12" ht="15.6" x14ac:dyDescent="0.3">
      <c r="A2" s="67" t="s">
        <v>112</v>
      </c>
      <c r="B2" s="67"/>
      <c r="C2" s="67"/>
      <c r="D2" s="67"/>
    </row>
    <row r="3" spans="1:12" ht="15.6" x14ac:dyDescent="0.3">
      <c r="A3" s="40" t="s">
        <v>57</v>
      </c>
      <c r="B3" s="40" t="s">
        <v>31</v>
      </c>
      <c r="C3" s="41" t="s">
        <v>32</v>
      </c>
      <c r="D3" s="41" t="s">
        <v>33</v>
      </c>
    </row>
    <row r="4" spans="1:12" x14ac:dyDescent="0.3">
      <c r="A4" s="30">
        <v>1</v>
      </c>
      <c r="B4" s="30" t="s">
        <v>62</v>
      </c>
      <c r="C4" s="30" t="s">
        <v>63</v>
      </c>
      <c r="D4" s="31">
        <v>5</v>
      </c>
    </row>
    <row r="5" spans="1:12" x14ac:dyDescent="0.3">
      <c r="A5" s="30">
        <v>2</v>
      </c>
      <c r="B5" s="30" t="s">
        <v>64</v>
      </c>
      <c r="C5" s="30" t="s">
        <v>65</v>
      </c>
      <c r="D5" s="31">
        <v>120</v>
      </c>
    </row>
    <row r="6" spans="1:12" x14ac:dyDescent="0.3">
      <c r="A6" s="30">
        <v>3</v>
      </c>
      <c r="B6" s="30" t="s">
        <v>66</v>
      </c>
      <c r="C6" s="30" t="s">
        <v>67</v>
      </c>
      <c r="D6" s="31">
        <v>10</v>
      </c>
    </row>
    <row r="7" spans="1:12" x14ac:dyDescent="0.3">
      <c r="A7" s="30">
        <v>4</v>
      </c>
      <c r="B7" s="30" t="s">
        <v>38</v>
      </c>
      <c r="C7" s="30" t="s">
        <v>69</v>
      </c>
      <c r="D7" s="31">
        <v>301</v>
      </c>
    </row>
    <row r="8" spans="1:12" x14ac:dyDescent="0.3">
      <c r="A8" s="30">
        <v>5</v>
      </c>
      <c r="B8" s="30" t="s">
        <v>78</v>
      </c>
      <c r="C8" s="30" t="s">
        <v>35</v>
      </c>
      <c r="D8" s="32">
        <v>0.01</v>
      </c>
    </row>
    <row r="9" spans="1:12" x14ac:dyDescent="0.3">
      <c r="A9" s="30">
        <v>6</v>
      </c>
      <c r="B9" s="30" t="s">
        <v>68</v>
      </c>
      <c r="C9" s="30" t="s">
        <v>3</v>
      </c>
      <c r="D9" s="34">
        <f>D4*D5*D6*D7</f>
        <v>1806000</v>
      </c>
    </row>
    <row r="10" spans="1:12" x14ac:dyDescent="0.3">
      <c r="A10" s="30">
        <v>7</v>
      </c>
      <c r="B10" s="30" t="s">
        <v>40</v>
      </c>
      <c r="C10" s="30" t="s">
        <v>3</v>
      </c>
      <c r="D10" s="34">
        <f>D9*D8</f>
        <v>18060</v>
      </c>
    </row>
    <row r="11" spans="1:12" x14ac:dyDescent="0.3">
      <c r="A11" s="30">
        <v>8</v>
      </c>
      <c r="B11" s="30" t="s">
        <v>41</v>
      </c>
      <c r="C11" s="30" t="s">
        <v>42</v>
      </c>
      <c r="D11" s="31">
        <f>'Tiêu thụ điện'!$J$41</f>
        <v>1887.6641017599857</v>
      </c>
    </row>
    <row r="12" spans="1:12" ht="18.600000000000001" x14ac:dyDescent="0.3">
      <c r="A12" s="30">
        <v>9</v>
      </c>
      <c r="B12" s="30" t="s">
        <v>43</v>
      </c>
      <c r="C12" s="30" t="s">
        <v>44</v>
      </c>
      <c r="D12" s="35">
        <f>D10*D11/1000</f>
        <v>34091.213677785345</v>
      </c>
    </row>
    <row r="13" spans="1:12" ht="18.600000000000001" x14ac:dyDescent="0.3">
      <c r="A13" s="30">
        <v>10</v>
      </c>
      <c r="B13" s="30" t="s">
        <v>45</v>
      </c>
      <c r="C13" s="30" t="s">
        <v>44</v>
      </c>
      <c r="D13" s="35">
        <v>0</v>
      </c>
    </row>
    <row r="14" spans="1:12" x14ac:dyDescent="0.3">
      <c r="A14" s="30">
        <v>11</v>
      </c>
      <c r="B14" s="30" t="s">
        <v>46</v>
      </c>
      <c r="C14" s="30" t="s">
        <v>47</v>
      </c>
      <c r="D14" s="31">
        <f>D13/D12*12</f>
        <v>0</v>
      </c>
    </row>
    <row r="15" spans="1:12" ht="18" x14ac:dyDescent="0.4">
      <c r="A15" s="30">
        <v>12</v>
      </c>
      <c r="B15" s="30" t="s">
        <v>48</v>
      </c>
      <c r="C15" s="30" t="s">
        <v>49</v>
      </c>
      <c r="D15" s="35">
        <f>D10*0.6766</f>
        <v>12219.395999999999</v>
      </c>
      <c r="H15" s="3">
        <f>D13*-1</f>
        <v>0</v>
      </c>
      <c r="I15" s="3"/>
      <c r="J15" s="3"/>
      <c r="K15" s="3"/>
      <c r="L15" s="3"/>
    </row>
    <row r="16" spans="1:12" x14ac:dyDescent="0.3">
      <c r="A16" s="30">
        <v>13</v>
      </c>
      <c r="B16" s="30" t="s">
        <v>50</v>
      </c>
      <c r="C16" s="30" t="s">
        <v>35</v>
      </c>
      <c r="D16" s="36" t="e">
        <f>G16</f>
        <v>#NUM!</v>
      </c>
      <c r="F16" s="1" t="s">
        <v>55</v>
      </c>
      <c r="G16" s="27" t="e">
        <f>IRR(H15:H20,10%)</f>
        <v>#NUM!</v>
      </c>
      <c r="H16" s="3">
        <f>D12</f>
        <v>34091.213677785345</v>
      </c>
    </row>
    <row r="17" spans="1:8" ht="18.600000000000001" x14ac:dyDescent="0.3">
      <c r="A17" s="30">
        <v>14</v>
      </c>
      <c r="B17" s="30" t="s">
        <v>51</v>
      </c>
      <c r="C17" s="30" t="s">
        <v>52</v>
      </c>
      <c r="D17" s="31">
        <f>G17</f>
        <v>99373.074545551484</v>
      </c>
      <c r="F17" s="1" t="s">
        <v>56</v>
      </c>
      <c r="G17" s="29">
        <f>NPV(15%,H15:H20)</f>
        <v>99373.074545551484</v>
      </c>
      <c r="H17" s="3">
        <f>H16</f>
        <v>34091.213677785345</v>
      </c>
    </row>
    <row r="18" spans="1:8" ht="14.55" x14ac:dyDescent="0.35">
      <c r="H18" s="3">
        <f t="shared" ref="H18:H20" si="0">H17</f>
        <v>34091.213677785345</v>
      </c>
    </row>
    <row r="19" spans="1:8" ht="14.55" x14ac:dyDescent="0.35">
      <c r="H19" s="3">
        <f t="shared" si="0"/>
        <v>34091.213677785345</v>
      </c>
    </row>
    <row r="20" spans="1:8" ht="14.55" x14ac:dyDescent="0.35">
      <c r="H20" s="3">
        <f t="shared" si="0"/>
        <v>34091.213677785345</v>
      </c>
    </row>
    <row r="21" spans="1:8" x14ac:dyDescent="0.3">
      <c r="B21" t="s">
        <v>71</v>
      </c>
    </row>
    <row r="23" spans="1:8" x14ac:dyDescent="0.3">
      <c r="B23" t="s">
        <v>70</v>
      </c>
      <c r="C23" t="s">
        <v>72</v>
      </c>
      <c r="D23">
        <v>6</v>
      </c>
      <c r="E23">
        <v>2000</v>
      </c>
      <c r="F23" s="1">
        <f>D23*E23</f>
        <v>12000</v>
      </c>
    </row>
    <row r="24" spans="1:8" x14ac:dyDescent="0.3">
      <c r="B24" t="s">
        <v>73</v>
      </c>
      <c r="C24" t="s">
        <v>75</v>
      </c>
      <c r="D24">
        <f>6*52</f>
        <v>312</v>
      </c>
      <c r="E24">
        <v>500</v>
      </c>
      <c r="F24" s="1">
        <f>D24*E24</f>
        <v>156000</v>
      </c>
    </row>
    <row r="25" spans="1:8" x14ac:dyDescent="0.3">
      <c r="B25" t="s">
        <v>74</v>
      </c>
      <c r="C25" t="s">
        <v>76</v>
      </c>
      <c r="D25">
        <v>1</v>
      </c>
      <c r="E25">
        <v>12000</v>
      </c>
      <c r="F25" s="1">
        <f>D25*E25</f>
        <v>12000</v>
      </c>
    </row>
  </sheetData>
  <mergeCells count="2">
    <mergeCell ref="A2:D2"/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activeCell="B11" sqref="B11"/>
    </sheetView>
  </sheetViews>
  <sheetFormatPr defaultRowHeight="14.4" x14ac:dyDescent="0.3"/>
  <cols>
    <col min="1" max="1" width="5.21875" customWidth="1"/>
    <col min="2" max="2" width="97.33203125" bestFit="1" customWidth="1"/>
    <col min="3" max="3" width="8.44140625" bestFit="1" customWidth="1"/>
    <col min="4" max="4" width="14.6640625" bestFit="1" customWidth="1"/>
    <col min="6" max="6" width="11.109375" style="1" bestFit="1" customWidth="1"/>
    <col min="7" max="7" width="11.44140625" bestFit="1" customWidth="1"/>
    <col min="8" max="8" width="10.6640625" bestFit="1" customWidth="1"/>
  </cols>
  <sheetData>
    <row r="1" spans="1:12" ht="17.399999999999999" x14ac:dyDescent="0.3">
      <c r="A1" s="68" t="s">
        <v>116</v>
      </c>
      <c r="B1" s="68"/>
      <c r="C1" s="68"/>
      <c r="D1" s="68"/>
    </row>
    <row r="2" spans="1:12" ht="15.6" x14ac:dyDescent="0.3">
      <c r="A2" s="67" t="s">
        <v>112</v>
      </c>
      <c r="B2" s="67"/>
      <c r="C2" s="67"/>
      <c r="D2" s="67"/>
    </row>
    <row r="3" spans="1:12" ht="15.6" x14ac:dyDescent="0.3">
      <c r="A3" s="40" t="s">
        <v>57</v>
      </c>
      <c r="B3" s="40" t="s">
        <v>31</v>
      </c>
      <c r="C3" s="41" t="s">
        <v>32</v>
      </c>
      <c r="D3" s="41" t="s">
        <v>33</v>
      </c>
    </row>
    <row r="4" spans="1:12" x14ac:dyDescent="0.3">
      <c r="A4" s="30">
        <v>1</v>
      </c>
      <c r="B4" s="30" t="s">
        <v>80</v>
      </c>
      <c r="C4" s="30" t="s">
        <v>63</v>
      </c>
      <c r="D4" s="31">
        <v>3</v>
      </c>
    </row>
    <row r="5" spans="1:12" x14ac:dyDescent="0.3">
      <c r="A5" s="30">
        <v>2</v>
      </c>
      <c r="B5" s="30" t="s">
        <v>64</v>
      </c>
      <c r="C5" s="30" t="s">
        <v>65</v>
      </c>
      <c r="D5" s="31">
        <v>120</v>
      </c>
    </row>
    <row r="6" spans="1:12" x14ac:dyDescent="0.3">
      <c r="A6" s="30">
        <v>3</v>
      </c>
      <c r="B6" s="30" t="s">
        <v>66</v>
      </c>
      <c r="C6" s="30" t="s">
        <v>67</v>
      </c>
      <c r="D6" s="31">
        <v>10</v>
      </c>
    </row>
    <row r="7" spans="1:12" x14ac:dyDescent="0.3">
      <c r="A7" s="30">
        <v>4</v>
      </c>
      <c r="B7" s="30" t="s">
        <v>38</v>
      </c>
      <c r="C7" s="30" t="s">
        <v>69</v>
      </c>
      <c r="D7" s="31">
        <v>301</v>
      </c>
    </row>
    <row r="8" spans="1:12" x14ac:dyDescent="0.3">
      <c r="A8" s="30">
        <v>5</v>
      </c>
      <c r="B8" s="30" t="s">
        <v>78</v>
      </c>
      <c r="C8" s="30" t="s">
        <v>35</v>
      </c>
      <c r="D8" s="32">
        <v>1.7000000000000001E-2</v>
      </c>
    </row>
    <row r="9" spans="1:12" x14ac:dyDescent="0.3">
      <c r="A9" s="30">
        <v>6</v>
      </c>
      <c r="B9" s="30" t="s">
        <v>68</v>
      </c>
      <c r="C9" s="30" t="s">
        <v>3</v>
      </c>
      <c r="D9" s="34">
        <f>D4*D5*D6*D7</f>
        <v>1083600</v>
      </c>
    </row>
    <row r="10" spans="1:12" x14ac:dyDescent="0.3">
      <c r="A10" s="30">
        <v>7</v>
      </c>
      <c r="B10" s="30" t="s">
        <v>40</v>
      </c>
      <c r="C10" s="30" t="s">
        <v>3</v>
      </c>
      <c r="D10" s="34">
        <f>D9*D8</f>
        <v>18421.2</v>
      </c>
    </row>
    <row r="11" spans="1:12" x14ac:dyDescent="0.3">
      <c r="A11" s="30">
        <v>8</v>
      </c>
      <c r="B11" s="30" t="s">
        <v>41</v>
      </c>
      <c r="C11" s="30" t="s">
        <v>42</v>
      </c>
      <c r="D11" s="31">
        <f>'Tiêu thụ điện'!$J$41</f>
        <v>1887.6641017599857</v>
      </c>
    </row>
    <row r="12" spans="1:12" ht="18.600000000000001" x14ac:dyDescent="0.3">
      <c r="A12" s="30">
        <v>9</v>
      </c>
      <c r="B12" s="30" t="s">
        <v>43</v>
      </c>
      <c r="C12" s="30" t="s">
        <v>44</v>
      </c>
      <c r="D12" s="35">
        <f>D10*D11/1000</f>
        <v>34773.037951341044</v>
      </c>
    </row>
    <row r="13" spans="1:12" ht="18.600000000000001" x14ac:dyDescent="0.3">
      <c r="A13" s="30">
        <v>10</v>
      </c>
      <c r="B13" s="30" t="s">
        <v>45</v>
      </c>
      <c r="C13" s="30" t="s">
        <v>44</v>
      </c>
      <c r="D13" s="35">
        <f>F23</f>
        <v>30000</v>
      </c>
    </row>
    <row r="14" spans="1:12" x14ac:dyDescent="0.3">
      <c r="A14" s="30">
        <v>11</v>
      </c>
      <c r="B14" s="30" t="s">
        <v>46</v>
      </c>
      <c r="C14" s="30" t="s">
        <v>47</v>
      </c>
      <c r="D14" s="31">
        <f>D13/D12*12</f>
        <v>10.352848678443305</v>
      </c>
    </row>
    <row r="15" spans="1:12" ht="18" x14ac:dyDescent="0.4">
      <c r="A15" s="30">
        <v>12</v>
      </c>
      <c r="B15" s="30" t="s">
        <v>48</v>
      </c>
      <c r="C15" s="30" t="s">
        <v>49</v>
      </c>
      <c r="D15" s="35">
        <f>D10*0.6766</f>
        <v>12463.78392</v>
      </c>
      <c r="H15" s="3">
        <f>D13*-1</f>
        <v>-30000</v>
      </c>
      <c r="I15" s="3"/>
      <c r="J15" s="3"/>
      <c r="K15" s="3"/>
      <c r="L15" s="3"/>
    </row>
    <row r="16" spans="1:12" x14ac:dyDescent="0.3">
      <c r="A16" s="30">
        <v>13</v>
      </c>
      <c r="B16" s="30" t="s">
        <v>50</v>
      </c>
      <c r="C16" s="30" t="s">
        <v>35</v>
      </c>
      <c r="D16" s="36">
        <f>G16</f>
        <v>1.1328390752213315</v>
      </c>
      <c r="F16" s="1" t="s">
        <v>55</v>
      </c>
      <c r="G16" s="27">
        <f>IRR(H15:H20,10%)</f>
        <v>1.1328390752213315</v>
      </c>
      <c r="H16" s="3">
        <f>D12</f>
        <v>34773.037951341044</v>
      </c>
    </row>
    <row r="17" spans="1:8" ht="18.600000000000001" x14ac:dyDescent="0.3">
      <c r="A17" s="30">
        <v>14</v>
      </c>
      <c r="B17" s="30" t="s">
        <v>51</v>
      </c>
      <c r="C17" s="30" t="s">
        <v>52</v>
      </c>
      <c r="D17" s="31">
        <f>G17</f>
        <v>75273.579514723373</v>
      </c>
      <c r="F17" s="1" t="s">
        <v>56</v>
      </c>
      <c r="G17" s="29">
        <f>NPV(15%,H15:H20)</f>
        <v>75273.579514723373</v>
      </c>
      <c r="H17" s="3">
        <f>H16</f>
        <v>34773.037951341044</v>
      </c>
    </row>
    <row r="18" spans="1:8" ht="14.55" x14ac:dyDescent="0.35">
      <c r="H18" s="3">
        <f t="shared" ref="H18:H20" si="0">H17</f>
        <v>34773.037951341044</v>
      </c>
    </row>
    <row r="19" spans="1:8" ht="14.55" x14ac:dyDescent="0.35">
      <c r="H19" s="3">
        <f t="shared" si="0"/>
        <v>34773.037951341044</v>
      </c>
    </row>
    <row r="20" spans="1:8" ht="14.55" x14ac:dyDescent="0.35">
      <c r="H20" s="3">
        <f t="shared" si="0"/>
        <v>34773.037951341044</v>
      </c>
    </row>
    <row r="21" spans="1:8" x14ac:dyDescent="0.3">
      <c r="B21" t="s">
        <v>71</v>
      </c>
    </row>
    <row r="23" spans="1:8" x14ac:dyDescent="0.3">
      <c r="B23" t="s">
        <v>79</v>
      </c>
      <c r="C23" t="s">
        <v>72</v>
      </c>
      <c r="D23">
        <v>3</v>
      </c>
      <c r="E23">
        <v>10000</v>
      </c>
      <c r="F23" s="1">
        <f>D23*E23</f>
        <v>30000</v>
      </c>
    </row>
    <row r="24" spans="1:8" x14ac:dyDescent="0.3">
      <c r="B24" t="s">
        <v>73</v>
      </c>
      <c r="C24" t="s">
        <v>75</v>
      </c>
      <c r="D24">
        <f>6*52</f>
        <v>312</v>
      </c>
      <c r="E24">
        <v>500</v>
      </c>
      <c r="F24" s="1">
        <f>D24*E24</f>
        <v>156000</v>
      </c>
    </row>
    <row r="25" spans="1:8" x14ac:dyDescent="0.3">
      <c r="B25" t="s">
        <v>74</v>
      </c>
      <c r="C25" t="s">
        <v>76</v>
      </c>
      <c r="D25">
        <v>1</v>
      </c>
      <c r="E25">
        <v>12000</v>
      </c>
      <c r="F25" s="1">
        <f>D25*E25</f>
        <v>12000</v>
      </c>
    </row>
  </sheetData>
  <mergeCells count="2">
    <mergeCell ref="A2:D2"/>
    <mergeCell ref="A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activeCell="B11" sqref="B11"/>
    </sheetView>
  </sheetViews>
  <sheetFormatPr defaultRowHeight="14.4" x14ac:dyDescent="0.3"/>
  <cols>
    <col min="1" max="1" width="5.21875" customWidth="1"/>
    <col min="2" max="2" width="97.33203125" bestFit="1" customWidth="1"/>
    <col min="3" max="3" width="8.44140625" bestFit="1" customWidth="1"/>
    <col min="4" max="4" width="14.6640625" bestFit="1" customWidth="1"/>
    <col min="6" max="6" width="11.109375" style="1" bestFit="1" customWidth="1"/>
    <col min="7" max="7" width="11.44140625" bestFit="1" customWidth="1"/>
    <col min="8" max="8" width="10.6640625" bestFit="1" customWidth="1"/>
  </cols>
  <sheetData>
    <row r="1" spans="1:12" ht="17.399999999999999" x14ac:dyDescent="0.3">
      <c r="A1" s="68" t="s">
        <v>117</v>
      </c>
      <c r="B1" s="68"/>
      <c r="C1" s="68"/>
      <c r="D1" s="68"/>
    </row>
    <row r="2" spans="1:12" ht="15.6" x14ac:dyDescent="0.3">
      <c r="A2" s="67" t="s">
        <v>112</v>
      </c>
      <c r="B2" s="67"/>
      <c r="C2" s="67"/>
      <c r="D2" s="67"/>
    </row>
    <row r="3" spans="1:12" ht="15.6" x14ac:dyDescent="0.3">
      <c r="A3" s="40" t="s">
        <v>57</v>
      </c>
      <c r="B3" s="40" t="s">
        <v>31</v>
      </c>
      <c r="C3" s="41" t="s">
        <v>32</v>
      </c>
      <c r="D3" s="41" t="s">
        <v>33</v>
      </c>
    </row>
    <row r="4" spans="1:12" x14ac:dyDescent="0.3">
      <c r="A4" s="30">
        <v>1</v>
      </c>
      <c r="B4" s="30" t="s">
        <v>62</v>
      </c>
      <c r="C4" s="30" t="s">
        <v>63</v>
      </c>
      <c r="D4" s="31">
        <v>5</v>
      </c>
    </row>
    <row r="5" spans="1:12" x14ac:dyDescent="0.3">
      <c r="A5" s="30">
        <v>2</v>
      </c>
      <c r="B5" s="30" t="s">
        <v>64</v>
      </c>
      <c r="C5" s="30" t="s">
        <v>65</v>
      </c>
      <c r="D5" s="31">
        <v>120</v>
      </c>
    </row>
    <row r="6" spans="1:12" x14ac:dyDescent="0.3">
      <c r="A6" s="30">
        <v>3</v>
      </c>
      <c r="B6" s="30" t="s">
        <v>66</v>
      </c>
      <c r="C6" s="30" t="s">
        <v>67</v>
      </c>
      <c r="D6" s="31">
        <v>10</v>
      </c>
    </row>
    <row r="7" spans="1:12" x14ac:dyDescent="0.3">
      <c r="A7" s="30">
        <v>4</v>
      </c>
      <c r="B7" s="30" t="s">
        <v>38</v>
      </c>
      <c r="C7" s="30" t="s">
        <v>69</v>
      </c>
      <c r="D7" s="31">
        <v>301</v>
      </c>
    </row>
    <row r="8" spans="1:12" x14ac:dyDescent="0.3">
      <c r="A8" s="30">
        <v>5</v>
      </c>
      <c r="B8" s="30" t="s">
        <v>78</v>
      </c>
      <c r="C8" s="30" t="s">
        <v>35</v>
      </c>
      <c r="D8" s="32">
        <v>0.05</v>
      </c>
    </row>
    <row r="9" spans="1:12" x14ac:dyDescent="0.3">
      <c r="A9" s="30">
        <v>6</v>
      </c>
      <c r="B9" s="30" t="s">
        <v>68</v>
      </c>
      <c r="C9" s="30" t="s">
        <v>3</v>
      </c>
      <c r="D9" s="34">
        <f>D4*D5*D6*D7</f>
        <v>1806000</v>
      </c>
    </row>
    <row r="10" spans="1:12" x14ac:dyDescent="0.3">
      <c r="A10" s="30">
        <v>7</v>
      </c>
      <c r="B10" s="30" t="s">
        <v>40</v>
      </c>
      <c r="C10" s="30" t="s">
        <v>3</v>
      </c>
      <c r="D10" s="34">
        <f>D9*D8</f>
        <v>90300</v>
      </c>
    </row>
    <row r="11" spans="1:12" x14ac:dyDescent="0.3">
      <c r="A11" s="30">
        <v>8</v>
      </c>
      <c r="B11" s="30" t="s">
        <v>41</v>
      </c>
      <c r="C11" s="30" t="s">
        <v>42</v>
      </c>
      <c r="D11" s="31">
        <f>'Tiêu thụ điện'!$J$41</f>
        <v>1887.6641017599857</v>
      </c>
    </row>
    <row r="12" spans="1:12" ht="18.600000000000001" x14ac:dyDescent="0.3">
      <c r="A12" s="30">
        <v>9</v>
      </c>
      <c r="B12" s="30" t="s">
        <v>43</v>
      </c>
      <c r="C12" s="30" t="s">
        <v>44</v>
      </c>
      <c r="D12" s="35">
        <f>D10*D11/1000</f>
        <v>170456.06838892671</v>
      </c>
    </row>
    <row r="13" spans="1:12" ht="18.600000000000001" x14ac:dyDescent="0.3">
      <c r="A13" s="30">
        <v>10</v>
      </c>
      <c r="B13" s="30" t="s">
        <v>45</v>
      </c>
      <c r="C13" s="30" t="s">
        <v>44</v>
      </c>
      <c r="D13" s="35">
        <f>F23+F24</f>
        <v>75000</v>
      </c>
    </row>
    <row r="14" spans="1:12" x14ac:dyDescent="0.3">
      <c r="A14" s="30">
        <v>11</v>
      </c>
      <c r="B14" s="30" t="s">
        <v>46</v>
      </c>
      <c r="C14" s="30" t="s">
        <v>47</v>
      </c>
      <c r="D14" s="31">
        <f>D13/D12*12</f>
        <v>5.2799528260060846</v>
      </c>
    </row>
    <row r="15" spans="1:12" ht="18" x14ac:dyDescent="0.4">
      <c r="A15" s="30">
        <v>12</v>
      </c>
      <c r="B15" s="30" t="s">
        <v>48</v>
      </c>
      <c r="C15" s="30" t="s">
        <v>49</v>
      </c>
      <c r="D15" s="35">
        <f>D10*0.6766</f>
        <v>61096.979999999996</v>
      </c>
      <c r="H15" s="3">
        <f>D13*-1</f>
        <v>-75000</v>
      </c>
      <c r="I15" s="3"/>
      <c r="J15" s="3"/>
      <c r="K15" s="3"/>
      <c r="L15" s="3"/>
    </row>
    <row r="16" spans="1:12" x14ac:dyDescent="0.3">
      <c r="A16" s="30">
        <v>13</v>
      </c>
      <c r="B16" s="30" t="s">
        <v>50</v>
      </c>
      <c r="C16" s="30" t="s">
        <v>35</v>
      </c>
      <c r="D16" s="36">
        <f>G16</f>
        <v>2.2666375043200842</v>
      </c>
      <c r="F16" s="1" t="s">
        <v>55</v>
      </c>
      <c r="G16" s="27">
        <f>IRR(H15:H20,10%)</f>
        <v>2.2666375043200842</v>
      </c>
      <c r="H16" s="3">
        <f>D12</f>
        <v>170456.06838892671</v>
      </c>
    </row>
    <row r="17" spans="1:8" ht="18.600000000000001" x14ac:dyDescent="0.3">
      <c r="A17" s="30">
        <v>14</v>
      </c>
      <c r="B17" s="30" t="s">
        <v>51</v>
      </c>
      <c r="C17" s="30" t="s">
        <v>52</v>
      </c>
      <c r="D17" s="31">
        <f>G17</f>
        <v>431647.98142340954</v>
      </c>
      <c r="F17" s="1" t="s">
        <v>56</v>
      </c>
      <c r="G17" s="29">
        <f>NPV(15%,H15:H20)</f>
        <v>431647.98142340954</v>
      </c>
      <c r="H17" s="3">
        <f>H16</f>
        <v>170456.06838892671</v>
      </c>
    </row>
    <row r="18" spans="1:8" ht="14.55" x14ac:dyDescent="0.35">
      <c r="H18" s="3">
        <f t="shared" ref="H18:H20" si="0">H17</f>
        <v>170456.06838892671</v>
      </c>
    </row>
    <row r="19" spans="1:8" ht="14.55" x14ac:dyDescent="0.35">
      <c r="H19" s="3">
        <f t="shared" si="0"/>
        <v>170456.06838892671</v>
      </c>
    </row>
    <row r="20" spans="1:8" ht="14.55" x14ac:dyDescent="0.35">
      <c r="H20" s="3">
        <f t="shared" si="0"/>
        <v>170456.06838892671</v>
      </c>
    </row>
    <row r="21" spans="1:8" x14ac:dyDescent="0.3">
      <c r="B21" t="s">
        <v>71</v>
      </c>
    </row>
    <row r="23" spans="1:8" x14ac:dyDescent="0.3">
      <c r="B23" t="s">
        <v>81</v>
      </c>
      <c r="C23" t="s">
        <v>72</v>
      </c>
      <c r="D23">
        <v>3</v>
      </c>
      <c r="E23">
        <v>20000</v>
      </c>
      <c r="F23" s="1">
        <f>D23*E23</f>
        <v>60000</v>
      </c>
    </row>
    <row r="24" spans="1:8" x14ac:dyDescent="0.3">
      <c r="B24" t="s">
        <v>82</v>
      </c>
      <c r="C24" t="s">
        <v>72</v>
      </c>
      <c r="D24">
        <v>3</v>
      </c>
      <c r="E24">
        <v>5000</v>
      </c>
      <c r="F24" s="1">
        <f>D24*E24</f>
        <v>15000</v>
      </c>
    </row>
  </sheetData>
  <mergeCells count="2">
    <mergeCell ref="A2:D2"/>
    <mergeCell ref="A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opLeftCell="A4" workbookViewId="0">
      <selection activeCell="B18" sqref="B18"/>
    </sheetView>
  </sheetViews>
  <sheetFormatPr defaultRowHeight="14.4" x14ac:dyDescent="0.3"/>
  <cols>
    <col min="1" max="1" width="5.21875" customWidth="1"/>
    <col min="2" max="2" width="97.33203125" bestFit="1" customWidth="1"/>
    <col min="3" max="3" width="8.44140625" bestFit="1" customWidth="1"/>
    <col min="4" max="4" width="14.6640625" bestFit="1" customWidth="1"/>
    <col min="7" max="7" width="13" bestFit="1" customWidth="1"/>
    <col min="8" max="8" width="10.6640625" bestFit="1" customWidth="1"/>
  </cols>
  <sheetData>
    <row r="1" spans="1:12" ht="17.399999999999999" x14ac:dyDescent="0.3">
      <c r="A1" s="68" t="s">
        <v>118</v>
      </c>
      <c r="B1" s="68"/>
      <c r="C1" s="68"/>
      <c r="D1" s="68"/>
    </row>
    <row r="2" spans="1:12" ht="15.6" x14ac:dyDescent="0.3">
      <c r="A2" s="67" t="s">
        <v>112</v>
      </c>
      <c r="B2" s="67"/>
      <c r="C2" s="67"/>
      <c r="D2" s="67"/>
    </row>
    <row r="3" spans="1:12" ht="15.6" x14ac:dyDescent="0.3">
      <c r="A3" s="40" t="s">
        <v>57</v>
      </c>
      <c r="B3" s="40" t="s">
        <v>31</v>
      </c>
      <c r="C3" s="41" t="s">
        <v>32</v>
      </c>
      <c r="D3" s="41" t="s">
        <v>33</v>
      </c>
    </row>
    <row r="4" spans="1:12" x14ac:dyDescent="0.3">
      <c r="A4" s="30">
        <v>1</v>
      </c>
      <c r="B4" s="30" t="s">
        <v>83</v>
      </c>
      <c r="C4" s="30"/>
      <c r="D4" s="31">
        <v>2.5</v>
      </c>
    </row>
    <row r="5" spans="1:12" x14ac:dyDescent="0.3">
      <c r="A5" s="30">
        <v>2</v>
      </c>
      <c r="B5" s="30" t="s">
        <v>84</v>
      </c>
      <c r="C5" s="30"/>
      <c r="D5" s="31">
        <v>7.1</v>
      </c>
    </row>
    <row r="6" spans="1:12" x14ac:dyDescent="0.3">
      <c r="A6" s="30">
        <v>3</v>
      </c>
      <c r="B6" s="30" t="s">
        <v>85</v>
      </c>
      <c r="C6" s="30" t="s">
        <v>65</v>
      </c>
      <c r="D6" s="31">
        <f>95*8</f>
        <v>760</v>
      </c>
    </row>
    <row r="7" spans="1:12" x14ac:dyDescent="0.3">
      <c r="A7" s="30">
        <v>4</v>
      </c>
      <c r="B7" s="30" t="s">
        <v>38</v>
      </c>
      <c r="C7" s="30" t="s">
        <v>65</v>
      </c>
      <c r="D7" s="31">
        <f>D6*D4/D5</f>
        <v>267.6056338028169</v>
      </c>
    </row>
    <row r="8" spans="1:12" x14ac:dyDescent="0.3">
      <c r="A8" s="30">
        <v>5</v>
      </c>
      <c r="B8" s="30" t="s">
        <v>86</v>
      </c>
      <c r="C8" s="30" t="s">
        <v>65</v>
      </c>
      <c r="D8" s="31">
        <f>D6-D7</f>
        <v>492.3943661971831</v>
      </c>
    </row>
    <row r="9" spans="1:12" x14ac:dyDescent="0.3">
      <c r="A9" s="30">
        <v>6</v>
      </c>
      <c r="B9" s="30" t="s">
        <v>87</v>
      </c>
      <c r="C9" s="30" t="s">
        <v>67</v>
      </c>
      <c r="D9" s="31">
        <v>8</v>
      </c>
    </row>
    <row r="10" spans="1:12" x14ac:dyDescent="0.3">
      <c r="A10" s="30">
        <v>7</v>
      </c>
      <c r="B10" s="30" t="s">
        <v>88</v>
      </c>
      <c r="C10" s="30" t="s">
        <v>69</v>
      </c>
      <c r="D10" s="31">
        <v>250</v>
      </c>
    </row>
    <row r="11" spans="1:12" x14ac:dyDescent="0.3">
      <c r="A11" s="30">
        <v>8</v>
      </c>
      <c r="B11" s="30" t="s">
        <v>40</v>
      </c>
      <c r="C11" s="30" t="s">
        <v>3</v>
      </c>
      <c r="D11" s="34">
        <f>D8*D9*D10</f>
        <v>984788.73239436618</v>
      </c>
    </row>
    <row r="12" spans="1:12" x14ac:dyDescent="0.3">
      <c r="A12" s="30">
        <v>9</v>
      </c>
      <c r="B12" s="30" t="s">
        <v>41</v>
      </c>
      <c r="C12" s="30" t="s">
        <v>42</v>
      </c>
      <c r="D12" s="31">
        <f>'Tiêu thụ điện'!$J$41</f>
        <v>1887.6641017599857</v>
      </c>
    </row>
    <row r="13" spans="1:12" ht="18.600000000000001" x14ac:dyDescent="0.3">
      <c r="A13" s="30">
        <v>10</v>
      </c>
      <c r="B13" s="30" t="s">
        <v>43</v>
      </c>
      <c r="C13" s="30" t="s">
        <v>44</v>
      </c>
      <c r="D13" s="35">
        <f>D11*D12/1000</f>
        <v>1858950.3379585661</v>
      </c>
    </row>
    <row r="14" spans="1:12" ht="18.600000000000001" x14ac:dyDescent="0.3">
      <c r="A14" s="30">
        <v>11</v>
      </c>
      <c r="B14" s="30" t="s">
        <v>45</v>
      </c>
      <c r="C14" s="30" t="s">
        <v>44</v>
      </c>
      <c r="D14" s="35">
        <v>6000000</v>
      </c>
    </row>
    <row r="15" spans="1:12" x14ac:dyDescent="0.3">
      <c r="A15" s="30">
        <v>12</v>
      </c>
      <c r="B15" s="30" t="s">
        <v>46</v>
      </c>
      <c r="C15" s="30" t="s">
        <v>47</v>
      </c>
      <c r="D15" s="31">
        <f>D14/D13*12</f>
        <v>38.73153495809246</v>
      </c>
    </row>
    <row r="16" spans="1:12" ht="18" x14ac:dyDescent="0.4">
      <c r="A16" s="30">
        <v>13</v>
      </c>
      <c r="B16" s="30" t="s">
        <v>48</v>
      </c>
      <c r="C16" s="30" t="s">
        <v>49</v>
      </c>
      <c r="D16" s="35">
        <f>D11*0.6766</f>
        <v>666308.05633802817</v>
      </c>
      <c r="H16" s="3">
        <f>D14*-1</f>
        <v>-6000000</v>
      </c>
      <c r="I16" s="3"/>
      <c r="J16" s="3"/>
      <c r="K16" s="3"/>
      <c r="L16" s="3"/>
    </row>
    <row r="17" spans="1:8" x14ac:dyDescent="0.3">
      <c r="A17" s="30">
        <v>14</v>
      </c>
      <c r="B17" s="30" t="s">
        <v>50</v>
      </c>
      <c r="C17" s="30" t="s">
        <v>35</v>
      </c>
      <c r="D17" s="36">
        <f>G17</f>
        <v>0.28448364860675235</v>
      </c>
      <c r="F17" t="s">
        <v>55</v>
      </c>
      <c r="G17" s="27">
        <f>IRR(H16:H26,10%)</f>
        <v>0.28448364860675235</v>
      </c>
      <c r="H17" s="3">
        <f>D13</f>
        <v>1858950.3379585661</v>
      </c>
    </row>
    <row r="18" spans="1:8" ht="18.600000000000001" x14ac:dyDescent="0.3">
      <c r="A18" s="30">
        <v>15</v>
      </c>
      <c r="B18" s="30" t="s">
        <v>89</v>
      </c>
      <c r="C18" s="30" t="s">
        <v>52</v>
      </c>
      <c r="D18" s="31">
        <f>G18</f>
        <v>2895340.5505804964</v>
      </c>
      <c r="F18" t="s">
        <v>56</v>
      </c>
      <c r="G18" s="29">
        <f>NPV(15%,H16:H26)</f>
        <v>2895340.5505804964</v>
      </c>
      <c r="H18" s="3">
        <f>H17</f>
        <v>1858950.3379585661</v>
      </c>
    </row>
    <row r="19" spans="1:8" ht="14.55" x14ac:dyDescent="0.35">
      <c r="H19" s="3">
        <f t="shared" ref="H19:H26" si="0">H18</f>
        <v>1858950.3379585661</v>
      </c>
    </row>
    <row r="20" spans="1:8" ht="14.55" x14ac:dyDescent="0.35">
      <c r="H20" s="3">
        <f t="shared" si="0"/>
        <v>1858950.3379585661</v>
      </c>
    </row>
    <row r="21" spans="1:8" ht="14.55" x14ac:dyDescent="0.35">
      <c r="H21" s="3">
        <f t="shared" si="0"/>
        <v>1858950.3379585661</v>
      </c>
    </row>
    <row r="22" spans="1:8" ht="14.55" x14ac:dyDescent="0.35">
      <c r="H22" s="3">
        <f t="shared" si="0"/>
        <v>1858950.3379585661</v>
      </c>
    </row>
    <row r="23" spans="1:8" ht="14.55" x14ac:dyDescent="0.35">
      <c r="H23" s="3">
        <f t="shared" si="0"/>
        <v>1858950.3379585661</v>
      </c>
    </row>
    <row r="24" spans="1:8" ht="14.55" x14ac:dyDescent="0.35">
      <c r="H24" s="3">
        <f t="shared" si="0"/>
        <v>1858950.3379585661</v>
      </c>
    </row>
    <row r="25" spans="1:8" ht="14.55" x14ac:dyDescent="0.35">
      <c r="H25" s="3">
        <f t="shared" si="0"/>
        <v>1858950.3379585661</v>
      </c>
    </row>
    <row r="26" spans="1:8" ht="14.55" x14ac:dyDescent="0.35">
      <c r="H26" s="3">
        <f t="shared" si="0"/>
        <v>1858950.3379585661</v>
      </c>
    </row>
  </sheetData>
  <mergeCells count="2">
    <mergeCell ref="A2:D2"/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activeCell="D13" sqref="D13"/>
    </sheetView>
  </sheetViews>
  <sheetFormatPr defaultRowHeight="14.4" x14ac:dyDescent="0.3"/>
  <cols>
    <col min="1" max="1" width="5.21875" customWidth="1"/>
    <col min="2" max="2" width="97.33203125" bestFit="1" customWidth="1"/>
    <col min="3" max="3" width="8.44140625" bestFit="1" customWidth="1"/>
    <col min="4" max="4" width="14.6640625" bestFit="1" customWidth="1"/>
    <col min="5" max="5" width="10.109375" bestFit="1" customWidth="1"/>
    <col min="6" max="6" width="13.6640625" bestFit="1" customWidth="1"/>
    <col min="7" max="7" width="13" bestFit="1" customWidth="1"/>
    <col min="8" max="8" width="10.6640625" bestFit="1" customWidth="1"/>
  </cols>
  <sheetData>
    <row r="1" spans="1:12" ht="17.399999999999999" x14ac:dyDescent="0.3">
      <c r="A1" s="68" t="s">
        <v>119</v>
      </c>
      <c r="B1" s="68"/>
      <c r="C1" s="68"/>
      <c r="D1" s="68"/>
    </row>
    <row r="2" spans="1:12" ht="15.6" x14ac:dyDescent="0.3">
      <c r="A2" s="67" t="s">
        <v>112</v>
      </c>
      <c r="B2" s="67"/>
      <c r="C2" s="67"/>
      <c r="D2" s="67"/>
    </row>
    <row r="3" spans="1:12" ht="15.6" x14ac:dyDescent="0.3">
      <c r="A3" s="40" t="s">
        <v>57</v>
      </c>
      <c r="B3" s="40" t="s">
        <v>31</v>
      </c>
      <c r="C3" s="41" t="s">
        <v>32</v>
      </c>
      <c r="D3" s="41" t="s">
        <v>33</v>
      </c>
    </row>
    <row r="4" spans="1:12" x14ac:dyDescent="0.3">
      <c r="A4" s="30">
        <v>3</v>
      </c>
      <c r="B4" s="30" t="s">
        <v>85</v>
      </c>
      <c r="C4" s="30" t="s">
        <v>65</v>
      </c>
      <c r="D4" s="31">
        <f>95*8</f>
        <v>760</v>
      </c>
    </row>
    <row r="5" spans="1:12" x14ac:dyDescent="0.3">
      <c r="A5" s="30">
        <v>5</v>
      </c>
      <c r="B5" s="30" t="s">
        <v>95</v>
      </c>
      <c r="C5" s="30" t="s">
        <v>35</v>
      </c>
      <c r="D5" s="37">
        <v>0.25</v>
      </c>
    </row>
    <row r="6" spans="1:12" x14ac:dyDescent="0.3">
      <c r="A6" s="30">
        <v>6</v>
      </c>
      <c r="B6" s="30" t="s">
        <v>87</v>
      </c>
      <c r="C6" s="30" t="s">
        <v>67</v>
      </c>
      <c r="D6" s="31">
        <v>8</v>
      </c>
    </row>
    <row r="7" spans="1:12" x14ac:dyDescent="0.3">
      <c r="A7" s="30">
        <v>7</v>
      </c>
      <c r="B7" s="30" t="s">
        <v>38</v>
      </c>
      <c r="C7" s="30" t="s">
        <v>69</v>
      </c>
      <c r="D7" s="31">
        <v>250</v>
      </c>
    </row>
    <row r="8" spans="1:12" x14ac:dyDescent="0.3">
      <c r="A8" s="30">
        <v>8</v>
      </c>
      <c r="B8" s="30" t="s">
        <v>40</v>
      </c>
      <c r="C8" s="30" t="s">
        <v>3</v>
      </c>
      <c r="D8" s="34">
        <f>D5*D6*D7*D4</f>
        <v>380000</v>
      </c>
    </row>
    <row r="9" spans="1:12" x14ac:dyDescent="0.3">
      <c r="A9" s="30">
        <v>9</v>
      </c>
      <c r="B9" s="30" t="s">
        <v>41</v>
      </c>
      <c r="C9" s="30" t="s">
        <v>42</v>
      </c>
      <c r="D9" s="31">
        <f>'Tiêu thụ điện'!$J$41</f>
        <v>1887.6641017599857</v>
      </c>
    </row>
    <row r="10" spans="1:12" ht="18.600000000000001" x14ac:dyDescent="0.3">
      <c r="A10" s="30">
        <v>10</v>
      </c>
      <c r="B10" s="30" t="s">
        <v>43</v>
      </c>
      <c r="C10" s="30" t="s">
        <v>44</v>
      </c>
      <c r="D10" s="35">
        <f>D8*D9/1000</f>
        <v>717312.35866879451</v>
      </c>
    </row>
    <row r="11" spans="1:12" ht="18.600000000000001" x14ac:dyDescent="0.3">
      <c r="A11" s="30">
        <v>11</v>
      </c>
      <c r="B11" s="30" t="s">
        <v>45</v>
      </c>
      <c r="C11" s="30" t="s">
        <v>44</v>
      </c>
      <c r="D11" s="35">
        <f>F25</f>
        <v>810000</v>
      </c>
    </row>
    <row r="12" spans="1:12" x14ac:dyDescent="0.3">
      <c r="A12" s="30">
        <v>12</v>
      </c>
      <c r="B12" s="30" t="s">
        <v>46</v>
      </c>
      <c r="C12" s="30" t="s">
        <v>47</v>
      </c>
      <c r="D12" s="31">
        <f>D11/D10*12</f>
        <v>13.550582089563616</v>
      </c>
    </row>
    <row r="13" spans="1:12" ht="18" x14ac:dyDescent="0.4">
      <c r="A13" s="30">
        <v>13</v>
      </c>
      <c r="B13" s="30" t="s">
        <v>48</v>
      </c>
      <c r="C13" s="30" t="s">
        <v>49</v>
      </c>
      <c r="D13" s="35">
        <f>D8*0.6766</f>
        <v>257108</v>
      </c>
      <c r="H13" s="3">
        <f>D11*-1</f>
        <v>-810000</v>
      </c>
      <c r="I13" s="3"/>
      <c r="J13" s="3"/>
      <c r="K13" s="3"/>
      <c r="L13" s="3"/>
    </row>
    <row r="14" spans="1:12" x14ac:dyDescent="0.3">
      <c r="A14" s="30">
        <v>14</v>
      </c>
      <c r="B14" s="30" t="s">
        <v>50</v>
      </c>
      <c r="C14" s="30" t="s">
        <v>35</v>
      </c>
      <c r="D14" s="36">
        <f>G14</f>
        <v>0.8440398735633845</v>
      </c>
      <c r="F14" t="s">
        <v>55</v>
      </c>
      <c r="G14" s="28">
        <f>IRR(H13:H18,10%)</f>
        <v>0.8440398735633845</v>
      </c>
      <c r="H14" s="3">
        <f>D10</f>
        <v>717312.35866879451</v>
      </c>
    </row>
    <row r="15" spans="1:12" ht="18.600000000000001" x14ac:dyDescent="0.3">
      <c r="A15" s="30">
        <v>15</v>
      </c>
      <c r="B15" s="30" t="s">
        <v>51</v>
      </c>
      <c r="C15" s="30" t="s">
        <v>52</v>
      </c>
      <c r="D15" s="31">
        <f>G15</f>
        <v>1386558.5043288551</v>
      </c>
      <c r="F15" t="s">
        <v>56</v>
      </c>
      <c r="G15" s="29">
        <f>NPV(15%,H13:H18)</f>
        <v>1386558.5043288551</v>
      </c>
      <c r="H15" s="3">
        <f>H14</f>
        <v>717312.35866879451</v>
      </c>
    </row>
    <row r="16" spans="1:12" ht="14.55" x14ac:dyDescent="0.35">
      <c r="H16" s="3">
        <f t="shared" ref="H16:H18" si="0">H15</f>
        <v>717312.35866879451</v>
      </c>
    </row>
    <row r="17" spans="2:8" ht="14.55" x14ac:dyDescent="0.35">
      <c r="H17" s="3">
        <f t="shared" si="0"/>
        <v>717312.35866879451</v>
      </c>
    </row>
    <row r="18" spans="2:8" ht="14.55" x14ac:dyDescent="0.35">
      <c r="H18" s="3">
        <f t="shared" si="0"/>
        <v>717312.35866879451</v>
      </c>
    </row>
    <row r="21" spans="2:8" x14ac:dyDescent="0.3">
      <c r="B21" t="s">
        <v>90</v>
      </c>
      <c r="C21" t="s">
        <v>91</v>
      </c>
      <c r="D21">
        <v>8</v>
      </c>
      <c r="E21" s="1">
        <v>35000</v>
      </c>
      <c r="F21" s="1">
        <f>D21*E21</f>
        <v>280000</v>
      </c>
    </row>
    <row r="22" spans="2:8" x14ac:dyDescent="0.3">
      <c r="B22" t="s">
        <v>92</v>
      </c>
      <c r="C22" t="s">
        <v>91</v>
      </c>
      <c r="D22">
        <v>50</v>
      </c>
      <c r="E22">
        <v>1000</v>
      </c>
      <c r="F22" s="1">
        <f>D22*E22</f>
        <v>50000</v>
      </c>
    </row>
    <row r="23" spans="2:8" x14ac:dyDescent="0.3">
      <c r="B23" t="s">
        <v>93</v>
      </c>
      <c r="C23" t="s">
        <v>91</v>
      </c>
      <c r="D23">
        <v>8</v>
      </c>
      <c r="E23">
        <v>15000</v>
      </c>
      <c r="F23" s="1">
        <f>D23*E23</f>
        <v>120000</v>
      </c>
    </row>
    <row r="24" spans="2:8" x14ac:dyDescent="0.3">
      <c r="B24" t="s">
        <v>94</v>
      </c>
      <c r="C24" t="s">
        <v>91</v>
      </c>
      <c r="D24">
        <v>24</v>
      </c>
      <c r="E24">
        <v>15000</v>
      </c>
      <c r="F24" s="1">
        <f>D24*E24</f>
        <v>360000</v>
      </c>
    </row>
    <row r="25" spans="2:8" ht="14.55" x14ac:dyDescent="0.35">
      <c r="F25" s="21">
        <f>SUM(F21:F24)</f>
        <v>810000</v>
      </c>
    </row>
  </sheetData>
  <mergeCells count="2">
    <mergeCell ref="A2:D2"/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B11" sqref="B11"/>
    </sheetView>
  </sheetViews>
  <sheetFormatPr defaultRowHeight="14.4" x14ac:dyDescent="0.3"/>
  <cols>
    <col min="1" max="1" width="5.21875" customWidth="1"/>
    <col min="2" max="2" width="97.33203125" bestFit="1" customWidth="1"/>
    <col min="3" max="3" width="8.44140625" bestFit="1" customWidth="1"/>
    <col min="4" max="4" width="14.6640625" bestFit="1" customWidth="1"/>
    <col min="7" max="7" width="11.44140625" bestFit="1" customWidth="1"/>
    <col min="8" max="8" width="10.6640625" bestFit="1" customWidth="1"/>
  </cols>
  <sheetData>
    <row r="1" spans="1:12" ht="17.399999999999999" x14ac:dyDescent="0.3">
      <c r="A1" s="68" t="s">
        <v>120</v>
      </c>
      <c r="B1" s="68"/>
      <c r="C1" s="68"/>
      <c r="D1" s="68"/>
    </row>
    <row r="2" spans="1:12" ht="15.6" x14ac:dyDescent="0.3">
      <c r="A2" s="67" t="s">
        <v>112</v>
      </c>
      <c r="B2" s="67"/>
      <c r="C2" s="67"/>
      <c r="D2" s="67"/>
    </row>
    <row r="3" spans="1:12" ht="15.6" x14ac:dyDescent="0.3">
      <c r="A3" s="40" t="s">
        <v>57</v>
      </c>
      <c r="B3" s="40" t="s">
        <v>31</v>
      </c>
      <c r="C3" s="41" t="s">
        <v>32</v>
      </c>
      <c r="D3" s="41" t="s">
        <v>33</v>
      </c>
    </row>
    <row r="4" spans="1:12" x14ac:dyDescent="0.3">
      <c r="A4" s="30">
        <v>1</v>
      </c>
      <c r="B4" s="30" t="s">
        <v>96</v>
      </c>
      <c r="C4" s="30" t="s">
        <v>72</v>
      </c>
      <c r="D4" s="31">
        <v>35</v>
      </c>
    </row>
    <row r="5" spans="1:12" x14ac:dyDescent="0.3">
      <c r="A5" s="30">
        <v>2</v>
      </c>
      <c r="B5" s="30" t="s">
        <v>97</v>
      </c>
      <c r="C5" s="30" t="s">
        <v>65</v>
      </c>
      <c r="D5" s="31">
        <v>1.2</v>
      </c>
    </row>
    <row r="6" spans="1:12" x14ac:dyDescent="0.3">
      <c r="A6" s="30">
        <v>3</v>
      </c>
      <c r="B6" s="30" t="s">
        <v>98</v>
      </c>
      <c r="C6" s="30" t="s">
        <v>69</v>
      </c>
      <c r="D6" s="31">
        <v>280</v>
      </c>
    </row>
    <row r="7" spans="1:12" x14ac:dyDescent="0.3">
      <c r="A7" s="30">
        <v>4</v>
      </c>
      <c r="B7" s="30" t="s">
        <v>38</v>
      </c>
      <c r="C7" s="30" t="s">
        <v>99</v>
      </c>
      <c r="D7" s="31">
        <v>8</v>
      </c>
    </row>
    <row r="8" spans="1:12" x14ac:dyDescent="0.3">
      <c r="A8" s="30">
        <v>5</v>
      </c>
      <c r="B8" s="30" t="s">
        <v>100</v>
      </c>
      <c r="C8" s="30" t="s">
        <v>35</v>
      </c>
      <c r="D8" s="37">
        <v>0.05</v>
      </c>
    </row>
    <row r="9" spans="1:12" x14ac:dyDescent="0.3">
      <c r="A9" s="30">
        <v>6</v>
      </c>
      <c r="B9" s="30" t="s">
        <v>101</v>
      </c>
      <c r="C9" s="30" t="s">
        <v>3</v>
      </c>
      <c r="D9" s="31">
        <f>D4*D5*D6*D7*D8</f>
        <v>4704</v>
      </c>
    </row>
    <row r="10" spans="1:12" x14ac:dyDescent="0.3">
      <c r="A10" s="30">
        <v>7</v>
      </c>
      <c r="B10" s="30" t="s">
        <v>41</v>
      </c>
      <c r="C10" s="30" t="s">
        <v>42</v>
      </c>
      <c r="D10" s="31">
        <f>'Tiêu thụ điện'!$J$41</f>
        <v>1887.6641017599857</v>
      </c>
    </row>
    <row r="11" spans="1:12" ht="18.600000000000001" x14ac:dyDescent="0.3">
      <c r="A11" s="30">
        <v>8</v>
      </c>
      <c r="B11" s="30" t="s">
        <v>43</v>
      </c>
      <c r="C11" s="30" t="s">
        <v>44</v>
      </c>
      <c r="D11" s="35">
        <f>D9*D10/1000</f>
        <v>8879.571934678972</v>
      </c>
    </row>
    <row r="12" spans="1:12" ht="18.600000000000001" x14ac:dyDescent="0.3">
      <c r="A12" s="30">
        <v>9</v>
      </c>
      <c r="B12" s="30" t="s">
        <v>45</v>
      </c>
      <c r="C12" s="30" t="s">
        <v>44</v>
      </c>
      <c r="D12" s="35">
        <v>17500</v>
      </c>
    </row>
    <row r="13" spans="1:12" x14ac:dyDescent="0.3">
      <c r="A13" s="30">
        <v>10</v>
      </c>
      <c r="B13" s="30" t="s">
        <v>46</v>
      </c>
      <c r="C13" s="30" t="s">
        <v>47</v>
      </c>
      <c r="D13" s="31">
        <f>D12/D11*12</f>
        <v>23.649788699818924</v>
      </c>
    </row>
    <row r="14" spans="1:12" ht="18" x14ac:dyDescent="0.4">
      <c r="A14" s="30">
        <v>11</v>
      </c>
      <c r="B14" s="30" t="s">
        <v>48</v>
      </c>
      <c r="C14" s="30" t="s">
        <v>49</v>
      </c>
      <c r="D14" s="35">
        <f>D9*0.6766</f>
        <v>3182.7264</v>
      </c>
      <c r="H14" s="3">
        <f>D12*-1</f>
        <v>-17500</v>
      </c>
      <c r="I14" s="3"/>
      <c r="J14" s="3"/>
      <c r="K14" s="3"/>
      <c r="L14" s="3"/>
    </row>
    <row r="15" spans="1:12" x14ac:dyDescent="0.3">
      <c r="A15" s="30">
        <v>12</v>
      </c>
      <c r="B15" s="30" t="s">
        <v>50</v>
      </c>
      <c r="C15" s="30" t="s">
        <v>35</v>
      </c>
      <c r="D15" s="36">
        <f>G15</f>
        <v>0.41930388406795482</v>
      </c>
      <c r="F15" t="s">
        <v>55</v>
      </c>
      <c r="G15" s="27">
        <f>IRR(H14:H19,10%)</f>
        <v>0.41930388406795482</v>
      </c>
      <c r="H15" s="3">
        <f>D11</f>
        <v>8879.571934678972</v>
      </c>
    </row>
    <row r="16" spans="1:12" ht="18.600000000000001" x14ac:dyDescent="0.3">
      <c r="A16" s="30">
        <v>13</v>
      </c>
      <c r="B16" s="30" t="s">
        <v>51</v>
      </c>
      <c r="C16" s="30" t="s">
        <v>52</v>
      </c>
      <c r="D16" s="31">
        <f>G16</f>
        <v>10665.828112167905</v>
      </c>
      <c r="F16" t="s">
        <v>56</v>
      </c>
      <c r="G16" s="29">
        <f>NPV(15%,H14:H19)</f>
        <v>10665.828112167905</v>
      </c>
      <c r="H16" s="3">
        <f>H15</f>
        <v>8879.571934678972</v>
      </c>
    </row>
    <row r="17" spans="8:8" ht="14.55" x14ac:dyDescent="0.35">
      <c r="H17" s="3">
        <f t="shared" ref="H17:H19" si="0">H16</f>
        <v>8879.571934678972</v>
      </c>
    </row>
    <row r="18" spans="8:8" ht="14.55" x14ac:dyDescent="0.35">
      <c r="H18" s="3">
        <f t="shared" si="0"/>
        <v>8879.571934678972</v>
      </c>
    </row>
    <row r="19" spans="8:8" ht="14.55" x14ac:dyDescent="0.35">
      <c r="H19" s="3">
        <f t="shared" si="0"/>
        <v>8879.571934678972</v>
      </c>
    </row>
  </sheetData>
  <mergeCells count="2">
    <mergeCell ref="A2:D2"/>
    <mergeCell ref="A1:D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D14" sqref="D14"/>
    </sheetView>
  </sheetViews>
  <sheetFormatPr defaultRowHeight="14.4" x14ac:dyDescent="0.3"/>
  <cols>
    <col min="1" max="1" width="5.21875" customWidth="1"/>
    <col min="2" max="2" width="97.33203125" bestFit="1" customWidth="1"/>
    <col min="3" max="3" width="8.44140625" bestFit="1" customWidth="1"/>
    <col min="4" max="4" width="14.6640625" bestFit="1" customWidth="1"/>
    <col min="7" max="7" width="13" bestFit="1" customWidth="1"/>
    <col min="8" max="8" width="10.6640625" bestFit="1" customWidth="1"/>
  </cols>
  <sheetData>
    <row r="1" spans="1:12" ht="17.399999999999999" x14ac:dyDescent="0.3">
      <c r="A1" s="68" t="s">
        <v>125</v>
      </c>
      <c r="B1" s="68"/>
      <c r="C1" s="68"/>
      <c r="D1" s="68"/>
    </row>
    <row r="2" spans="1:12" ht="15.6" x14ac:dyDescent="0.3">
      <c r="A2" s="67" t="s">
        <v>112</v>
      </c>
      <c r="B2" s="67"/>
      <c r="C2" s="67"/>
      <c r="D2" s="67"/>
    </row>
    <row r="3" spans="1:12" ht="15.6" x14ac:dyDescent="0.3">
      <c r="A3" s="40" t="s">
        <v>57</v>
      </c>
      <c r="B3" s="40" t="s">
        <v>31</v>
      </c>
      <c r="C3" s="41" t="s">
        <v>32</v>
      </c>
      <c r="D3" s="41" t="s">
        <v>33</v>
      </c>
    </row>
    <row r="4" spans="1:12" x14ac:dyDescent="0.3">
      <c r="A4" s="30">
        <v>1</v>
      </c>
      <c r="B4" s="30" t="s">
        <v>126</v>
      </c>
      <c r="C4" s="30" t="s">
        <v>72</v>
      </c>
      <c r="D4" s="31">
        <v>150</v>
      </c>
    </row>
    <row r="5" spans="1:12" x14ac:dyDescent="0.3">
      <c r="A5" s="30">
        <v>2</v>
      </c>
      <c r="B5" s="30" t="s">
        <v>127</v>
      </c>
      <c r="C5" s="30" t="s">
        <v>65</v>
      </c>
      <c r="D5" s="31">
        <v>1.1000000000000001</v>
      </c>
    </row>
    <row r="6" spans="1:12" x14ac:dyDescent="0.3">
      <c r="A6" s="30"/>
      <c r="B6" s="30" t="s">
        <v>128</v>
      </c>
      <c r="C6" s="30" t="s">
        <v>65</v>
      </c>
      <c r="D6" s="31">
        <v>0.4</v>
      </c>
    </row>
    <row r="7" spans="1:12" x14ac:dyDescent="0.3">
      <c r="A7" s="30">
        <v>3</v>
      </c>
      <c r="B7" s="30" t="s">
        <v>98</v>
      </c>
      <c r="C7" s="30" t="s">
        <v>69</v>
      </c>
      <c r="D7" s="31">
        <v>301</v>
      </c>
    </row>
    <row r="8" spans="1:12" x14ac:dyDescent="0.3">
      <c r="A8" s="30">
        <v>4</v>
      </c>
      <c r="B8" s="30" t="s">
        <v>38</v>
      </c>
      <c r="C8" s="30" t="s">
        <v>99</v>
      </c>
      <c r="D8" s="31">
        <v>10</v>
      </c>
    </row>
    <row r="9" spans="1:12" x14ac:dyDescent="0.3">
      <c r="A9" s="30">
        <v>6</v>
      </c>
      <c r="B9" s="30" t="s">
        <v>101</v>
      </c>
      <c r="C9" s="30" t="s">
        <v>3</v>
      </c>
      <c r="D9" s="31">
        <f>(D5-D6)*D4*D7*D8</f>
        <v>316050.00000000006</v>
      </c>
    </row>
    <row r="10" spans="1:12" x14ac:dyDescent="0.3">
      <c r="A10" s="30">
        <v>7</v>
      </c>
      <c r="B10" s="30" t="s">
        <v>41</v>
      </c>
      <c r="C10" s="30" t="s">
        <v>42</v>
      </c>
      <c r="D10" s="31">
        <f>'Tiêu thụ điện'!$J$41</f>
        <v>1887.6641017599857</v>
      </c>
    </row>
    <row r="11" spans="1:12" ht="18.600000000000001" x14ac:dyDescent="0.3">
      <c r="A11" s="30">
        <v>8</v>
      </c>
      <c r="B11" s="30" t="s">
        <v>43</v>
      </c>
      <c r="C11" s="30" t="s">
        <v>44</v>
      </c>
      <c r="D11" s="35">
        <f>D9*D10/1000</f>
        <v>596596.23936124356</v>
      </c>
    </row>
    <row r="12" spans="1:12" ht="18.600000000000001" x14ac:dyDescent="0.3">
      <c r="A12" s="30">
        <v>9</v>
      </c>
      <c r="B12" s="30" t="s">
        <v>45</v>
      </c>
      <c r="C12" s="30" t="s">
        <v>44</v>
      </c>
      <c r="D12" s="35">
        <f>D4*2200</f>
        <v>330000</v>
      </c>
    </row>
    <row r="13" spans="1:12" x14ac:dyDescent="0.3">
      <c r="A13" s="30">
        <v>10</v>
      </c>
      <c r="B13" s="30" t="s">
        <v>46</v>
      </c>
      <c r="C13" s="30" t="s">
        <v>47</v>
      </c>
      <c r="D13" s="31">
        <f>D12/D11*12</f>
        <v>6.6376549812647907</v>
      </c>
    </row>
    <row r="14" spans="1:12" ht="18" x14ac:dyDescent="0.4">
      <c r="A14" s="30">
        <v>11</v>
      </c>
      <c r="B14" s="30" t="s">
        <v>48</v>
      </c>
      <c r="C14" s="30" t="s">
        <v>49</v>
      </c>
      <c r="D14" s="35">
        <f>D9*0.6766</f>
        <v>213839.43000000002</v>
      </c>
      <c r="H14" s="3">
        <f>D12*-1</f>
        <v>-330000</v>
      </c>
      <c r="I14" s="3"/>
      <c r="J14" s="3"/>
      <c r="K14" s="3"/>
      <c r="L14" s="3"/>
    </row>
    <row r="15" spans="1:12" x14ac:dyDescent="0.3">
      <c r="A15" s="30">
        <v>12</v>
      </c>
      <c r="B15" s="30" t="s">
        <v>50</v>
      </c>
      <c r="C15" s="30" t="s">
        <v>35</v>
      </c>
      <c r="D15" s="36">
        <f>G15</f>
        <v>1.7973123056091986</v>
      </c>
      <c r="F15" t="s">
        <v>55</v>
      </c>
      <c r="G15" s="27">
        <f>IRR(H14:H19,10%)</f>
        <v>1.7973123056091986</v>
      </c>
      <c r="H15" s="3">
        <f>D11</f>
        <v>596596.23936124356</v>
      </c>
    </row>
    <row r="16" spans="1:12" ht="18.600000000000001" x14ac:dyDescent="0.3">
      <c r="A16" s="30">
        <v>13</v>
      </c>
      <c r="B16" s="30" t="s">
        <v>51</v>
      </c>
      <c r="C16" s="30" t="s">
        <v>52</v>
      </c>
      <c r="D16" s="31">
        <f>G16</f>
        <v>1452072.2828080207</v>
      </c>
      <c r="F16" t="s">
        <v>56</v>
      </c>
      <c r="G16" s="29">
        <f>NPV(15%,H14:H19)</f>
        <v>1452072.2828080207</v>
      </c>
      <c r="H16" s="3">
        <f>H15</f>
        <v>596596.23936124356</v>
      </c>
    </row>
    <row r="17" spans="8:8" ht="14.55" x14ac:dyDescent="0.35">
      <c r="H17" s="3">
        <f t="shared" ref="H17:H19" si="0">H16</f>
        <v>596596.23936124356</v>
      </c>
    </row>
    <row r="18" spans="8:8" ht="14.55" x14ac:dyDescent="0.35">
      <c r="H18" s="3">
        <f t="shared" si="0"/>
        <v>596596.23936124356</v>
      </c>
    </row>
    <row r="19" spans="8:8" ht="14.55" x14ac:dyDescent="0.35">
      <c r="H19" s="3">
        <f t="shared" si="0"/>
        <v>596596.23936124356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activeCell="B11" sqref="B11"/>
    </sheetView>
  </sheetViews>
  <sheetFormatPr defaultRowHeight="14.4" x14ac:dyDescent="0.3"/>
  <cols>
    <col min="1" max="1" width="5.21875" customWidth="1"/>
    <col min="2" max="2" width="97.33203125" bestFit="1" customWidth="1"/>
    <col min="3" max="3" width="8.44140625" bestFit="1" customWidth="1"/>
    <col min="4" max="4" width="14.6640625" bestFit="1" customWidth="1"/>
    <col min="7" max="7" width="11.44140625" bestFit="1" customWidth="1"/>
    <col min="8" max="8" width="10.6640625" bestFit="1" customWidth="1"/>
  </cols>
  <sheetData>
    <row r="1" spans="1:12" ht="17.399999999999999" x14ac:dyDescent="0.3">
      <c r="A1" s="68" t="s">
        <v>121</v>
      </c>
      <c r="B1" s="68"/>
      <c r="C1" s="68"/>
      <c r="D1" s="68"/>
    </row>
    <row r="2" spans="1:12" ht="15.6" x14ac:dyDescent="0.3">
      <c r="A2" s="67" t="s">
        <v>112</v>
      </c>
      <c r="B2" s="67"/>
      <c r="C2" s="67"/>
      <c r="D2" s="67"/>
    </row>
    <row r="3" spans="1:12" ht="15.6" x14ac:dyDescent="0.3">
      <c r="A3" s="40" t="s">
        <v>57</v>
      </c>
      <c r="B3" s="40" t="s">
        <v>31</v>
      </c>
      <c r="C3" s="41" t="s">
        <v>32</v>
      </c>
      <c r="D3" s="41" t="s">
        <v>33</v>
      </c>
    </row>
    <row r="4" spans="1:12" x14ac:dyDescent="0.3">
      <c r="A4" s="30">
        <v>1</v>
      </c>
      <c r="B4" s="30" t="s">
        <v>102</v>
      </c>
      <c r="C4" s="30" t="s">
        <v>65</v>
      </c>
      <c r="D4" s="38">
        <v>0.112</v>
      </c>
    </row>
    <row r="5" spans="1:12" x14ac:dyDescent="0.3">
      <c r="A5" s="30">
        <v>2</v>
      </c>
      <c r="B5" s="30" t="s">
        <v>103</v>
      </c>
      <c r="C5" s="30" t="s">
        <v>91</v>
      </c>
      <c r="D5" s="31">
        <v>40</v>
      </c>
    </row>
    <row r="6" spans="1:12" x14ac:dyDescent="0.3">
      <c r="A6" s="30">
        <v>3</v>
      </c>
      <c r="B6" s="30" t="s">
        <v>104</v>
      </c>
      <c r="C6" s="30" t="s">
        <v>65</v>
      </c>
      <c r="D6" s="33">
        <f>D4*D5</f>
        <v>4.4800000000000004</v>
      </c>
    </row>
    <row r="7" spans="1:12" x14ac:dyDescent="0.3">
      <c r="A7" s="30">
        <v>4</v>
      </c>
      <c r="B7" s="30" t="s">
        <v>38</v>
      </c>
      <c r="C7" s="30" t="s">
        <v>67</v>
      </c>
      <c r="D7" s="30">
        <v>10</v>
      </c>
    </row>
    <row r="8" spans="1:12" x14ac:dyDescent="0.3">
      <c r="A8" s="30">
        <v>5</v>
      </c>
      <c r="B8" s="30" t="s">
        <v>98</v>
      </c>
      <c r="C8" s="30" t="s">
        <v>69</v>
      </c>
      <c r="D8" s="34">
        <v>365</v>
      </c>
    </row>
    <row r="9" spans="1:12" x14ac:dyDescent="0.3">
      <c r="A9" s="30">
        <v>6</v>
      </c>
      <c r="B9" s="30" t="s">
        <v>105</v>
      </c>
      <c r="C9" s="30" t="s">
        <v>35</v>
      </c>
      <c r="D9" s="39">
        <v>0.7</v>
      </c>
    </row>
    <row r="10" spans="1:12" x14ac:dyDescent="0.3">
      <c r="A10" s="30">
        <v>7</v>
      </c>
      <c r="B10" s="30" t="s">
        <v>40</v>
      </c>
      <c r="C10" s="30" t="s">
        <v>3</v>
      </c>
      <c r="D10" s="34">
        <f>D6*D7*D8*D9</f>
        <v>11446.400000000001</v>
      </c>
    </row>
    <row r="11" spans="1:12" x14ac:dyDescent="0.3">
      <c r="A11" s="30">
        <v>8</v>
      </c>
      <c r="B11" s="30" t="s">
        <v>41</v>
      </c>
      <c r="C11" s="30" t="s">
        <v>42</v>
      </c>
      <c r="D11" s="31">
        <f>'Tiêu thụ điện'!$J$41</f>
        <v>1887.6641017599857</v>
      </c>
    </row>
    <row r="12" spans="1:12" ht="18.600000000000001" x14ac:dyDescent="0.3">
      <c r="A12" s="30">
        <v>9</v>
      </c>
      <c r="B12" s="30" t="s">
        <v>43</v>
      </c>
      <c r="C12" s="30" t="s">
        <v>44</v>
      </c>
      <c r="D12" s="35">
        <f>D10*D11/1000</f>
        <v>21606.958374385504</v>
      </c>
    </row>
    <row r="13" spans="1:12" ht="18.600000000000001" x14ac:dyDescent="0.3">
      <c r="A13" s="30">
        <v>10</v>
      </c>
      <c r="B13" s="30" t="s">
        <v>45</v>
      </c>
      <c r="C13" s="30" t="s">
        <v>44</v>
      </c>
      <c r="D13" s="35">
        <v>20000</v>
      </c>
    </row>
    <row r="14" spans="1:12" x14ac:dyDescent="0.3">
      <c r="A14" s="30">
        <v>11</v>
      </c>
      <c r="B14" s="30" t="s">
        <v>46</v>
      </c>
      <c r="C14" s="30" t="s">
        <v>47</v>
      </c>
      <c r="D14" s="31">
        <f>D13/D12*12</f>
        <v>11.107532853143914</v>
      </c>
    </row>
    <row r="15" spans="1:12" ht="18" x14ac:dyDescent="0.4">
      <c r="A15" s="30">
        <v>12</v>
      </c>
      <c r="B15" s="30" t="s">
        <v>48</v>
      </c>
      <c r="C15" s="30" t="s">
        <v>49</v>
      </c>
      <c r="D15" s="35">
        <f>D10*0.6766</f>
        <v>7744.6342400000003</v>
      </c>
      <c r="H15" s="3">
        <f>D13*-1</f>
        <v>-20000</v>
      </c>
      <c r="I15" s="3"/>
      <c r="J15" s="3"/>
      <c r="K15" s="3"/>
      <c r="L15" s="3"/>
    </row>
    <row r="16" spans="1:12" x14ac:dyDescent="0.3">
      <c r="A16" s="30">
        <v>13</v>
      </c>
      <c r="B16" s="30" t="s">
        <v>50</v>
      </c>
      <c r="C16" s="30" t="s">
        <v>35</v>
      </c>
      <c r="D16" s="36">
        <f>G16</f>
        <v>1.0505480842984389</v>
      </c>
      <c r="F16" t="s">
        <v>55</v>
      </c>
      <c r="G16" s="27">
        <f>IRR(H15:H20,10%)</f>
        <v>1.0505480842984389</v>
      </c>
      <c r="H16" s="3">
        <f>D12</f>
        <v>21606.958374385504</v>
      </c>
    </row>
    <row r="17" spans="1:8" ht="18.600000000000001" x14ac:dyDescent="0.3">
      <c r="A17" s="30">
        <v>14</v>
      </c>
      <c r="B17" s="30" t="s">
        <v>51</v>
      </c>
      <c r="C17" s="30" t="s">
        <v>52</v>
      </c>
      <c r="D17" s="31">
        <f>G17</f>
        <v>45591.196232362207</v>
      </c>
      <c r="F17" t="s">
        <v>56</v>
      </c>
      <c r="G17" s="29">
        <f>NPV(15%,H15:H20)</f>
        <v>45591.196232362207</v>
      </c>
      <c r="H17" s="3">
        <f>H16</f>
        <v>21606.958374385504</v>
      </c>
    </row>
    <row r="18" spans="1:8" ht="14.55" x14ac:dyDescent="0.35">
      <c r="H18" s="3">
        <f t="shared" ref="H18:H20" si="0">H17</f>
        <v>21606.958374385504</v>
      </c>
    </row>
    <row r="19" spans="1:8" ht="14.55" x14ac:dyDescent="0.35">
      <c r="H19" s="3">
        <f t="shared" si="0"/>
        <v>21606.958374385504</v>
      </c>
    </row>
    <row r="20" spans="1:8" ht="14.55" x14ac:dyDescent="0.35">
      <c r="H20" s="3">
        <f t="shared" si="0"/>
        <v>21606.958374385504</v>
      </c>
    </row>
  </sheetData>
  <mergeCells count="2">
    <mergeCell ref="A2:D2"/>
    <mergeCell ref="A1:D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activeCell="B11" sqref="B11"/>
    </sheetView>
  </sheetViews>
  <sheetFormatPr defaultRowHeight="14.4" x14ac:dyDescent="0.3"/>
  <cols>
    <col min="1" max="1" width="5.21875" customWidth="1"/>
    <col min="2" max="2" width="97.33203125" bestFit="1" customWidth="1"/>
    <col min="3" max="3" width="8.44140625" bestFit="1" customWidth="1"/>
    <col min="4" max="4" width="14.6640625" bestFit="1" customWidth="1"/>
    <col min="6" max="6" width="12.5546875" bestFit="1" customWidth="1"/>
    <col min="7" max="7" width="12.109375" bestFit="1" customWidth="1"/>
    <col min="8" max="8" width="10.6640625" bestFit="1" customWidth="1"/>
  </cols>
  <sheetData>
    <row r="1" spans="1:12" ht="17.399999999999999" x14ac:dyDescent="0.3">
      <c r="A1" s="68" t="s">
        <v>122</v>
      </c>
      <c r="B1" s="68"/>
      <c r="C1" s="68"/>
      <c r="D1" s="68"/>
    </row>
    <row r="2" spans="1:12" ht="15.6" x14ac:dyDescent="0.3">
      <c r="A2" s="67" t="s">
        <v>112</v>
      </c>
      <c r="B2" s="67"/>
      <c r="C2" s="67"/>
      <c r="D2" s="67"/>
    </row>
    <row r="3" spans="1:12" ht="15.6" x14ac:dyDescent="0.3">
      <c r="A3" s="40" t="s">
        <v>57</v>
      </c>
      <c r="B3" s="40" t="s">
        <v>31</v>
      </c>
      <c r="C3" s="41" t="s">
        <v>32</v>
      </c>
      <c r="D3" s="41" t="s">
        <v>33</v>
      </c>
    </row>
    <row r="4" spans="1:12" x14ac:dyDescent="0.3">
      <c r="A4" s="30">
        <v>1</v>
      </c>
      <c r="B4" s="30" t="s">
        <v>107</v>
      </c>
      <c r="C4" s="30" t="s">
        <v>91</v>
      </c>
      <c r="D4" s="38">
        <f>20*12*6</f>
        <v>1440</v>
      </c>
    </row>
    <row r="5" spans="1:12" x14ac:dyDescent="0.3">
      <c r="A5" s="30">
        <v>2</v>
      </c>
      <c r="B5" s="30" t="s">
        <v>108</v>
      </c>
      <c r="C5" s="30" t="s">
        <v>65</v>
      </c>
      <c r="D5" s="31">
        <v>0.1</v>
      </c>
    </row>
    <row r="6" spans="1:12" x14ac:dyDescent="0.3">
      <c r="A6" s="30">
        <v>3</v>
      </c>
      <c r="B6" s="30" t="s">
        <v>104</v>
      </c>
      <c r="C6" s="30" t="s">
        <v>65</v>
      </c>
      <c r="D6" s="33">
        <f>D4*D5</f>
        <v>144</v>
      </c>
    </row>
    <row r="7" spans="1:12" x14ac:dyDescent="0.3">
      <c r="A7" s="30">
        <v>4</v>
      </c>
      <c r="B7" s="30" t="s">
        <v>38</v>
      </c>
      <c r="C7" s="30" t="s">
        <v>67</v>
      </c>
      <c r="D7" s="30">
        <v>10</v>
      </c>
    </row>
    <row r="8" spans="1:12" x14ac:dyDescent="0.3">
      <c r="A8" s="30">
        <v>5</v>
      </c>
      <c r="B8" s="30" t="s">
        <v>98</v>
      </c>
      <c r="C8" s="30" t="s">
        <v>69</v>
      </c>
      <c r="D8" s="34">
        <v>301</v>
      </c>
    </row>
    <row r="9" spans="1:12" x14ac:dyDescent="0.3">
      <c r="A9" s="30">
        <v>6</v>
      </c>
      <c r="B9" s="30" t="s">
        <v>105</v>
      </c>
      <c r="C9" s="30" t="s">
        <v>35</v>
      </c>
      <c r="D9" s="39">
        <v>0.2</v>
      </c>
    </row>
    <row r="10" spans="1:12" x14ac:dyDescent="0.3">
      <c r="A10" s="30">
        <v>7</v>
      </c>
      <c r="B10" s="30" t="s">
        <v>40</v>
      </c>
      <c r="C10" s="30" t="s">
        <v>3</v>
      </c>
      <c r="D10" s="34">
        <f>D6*D7*D8*D9</f>
        <v>86688</v>
      </c>
    </row>
    <row r="11" spans="1:12" x14ac:dyDescent="0.3">
      <c r="A11" s="30">
        <v>8</v>
      </c>
      <c r="B11" s="30" t="s">
        <v>41</v>
      </c>
      <c r="C11" s="30" t="s">
        <v>42</v>
      </c>
      <c r="D11" s="34">
        <f>'Tiêu thụ điện'!$J$41</f>
        <v>1887.6641017599857</v>
      </c>
    </row>
    <row r="12" spans="1:12" ht="18.600000000000001" x14ac:dyDescent="0.3">
      <c r="A12" s="30">
        <v>9</v>
      </c>
      <c r="B12" s="30" t="s">
        <v>43</v>
      </c>
      <c r="C12" s="30" t="s">
        <v>44</v>
      </c>
      <c r="D12" s="35">
        <f>D10*D11/1000</f>
        <v>163637.82565336963</v>
      </c>
    </row>
    <row r="13" spans="1:12" ht="18.600000000000001" x14ac:dyDescent="0.3">
      <c r="A13" s="30">
        <v>10</v>
      </c>
      <c r="B13" s="30" t="s">
        <v>45</v>
      </c>
      <c r="C13" s="30" t="s">
        <v>44</v>
      </c>
      <c r="D13" s="35">
        <f>F20</f>
        <v>1400000</v>
      </c>
    </row>
    <row r="14" spans="1:12" x14ac:dyDescent="0.3">
      <c r="A14" s="30">
        <v>11</v>
      </c>
      <c r="B14" s="30" t="s">
        <v>46</v>
      </c>
      <c r="C14" s="30" t="s">
        <v>47</v>
      </c>
      <c r="D14" s="31">
        <f>D13/D12*12</f>
        <v>102.66574939456277</v>
      </c>
    </row>
    <row r="15" spans="1:12" ht="18" x14ac:dyDescent="0.4">
      <c r="A15" s="30">
        <v>12</v>
      </c>
      <c r="B15" s="30" t="s">
        <v>48</v>
      </c>
      <c r="C15" s="30" t="s">
        <v>49</v>
      </c>
      <c r="D15" s="35">
        <f>D10*0.6766</f>
        <v>58653.1008</v>
      </c>
      <c r="H15" s="3">
        <f>D13*-1</f>
        <v>-1400000</v>
      </c>
      <c r="I15" s="3"/>
      <c r="J15" s="3"/>
      <c r="K15" s="3"/>
      <c r="L15" s="3"/>
    </row>
    <row r="16" spans="1:12" x14ac:dyDescent="0.3">
      <c r="A16" s="30">
        <v>13</v>
      </c>
      <c r="B16" s="30" t="s">
        <v>50</v>
      </c>
      <c r="C16" s="30" t="s">
        <v>35</v>
      </c>
      <c r="D16" s="36">
        <f>G16</f>
        <v>2.9420652900681743E-2</v>
      </c>
      <c r="F16" t="s">
        <v>55</v>
      </c>
      <c r="G16" s="27">
        <f>IRR(H15:H25,10%)</f>
        <v>2.9420652900681743E-2</v>
      </c>
      <c r="H16" s="3">
        <f>D12</f>
        <v>163637.82565336963</v>
      </c>
    </row>
    <row r="17" spans="1:8" ht="18.600000000000001" x14ac:dyDescent="0.3">
      <c r="A17" s="30">
        <v>14</v>
      </c>
      <c r="B17" s="30" t="s">
        <v>89</v>
      </c>
      <c r="C17" s="30" t="s">
        <v>52</v>
      </c>
      <c r="D17" s="31">
        <f>G17</f>
        <v>-503251.83878944692</v>
      </c>
      <c r="F17" t="s">
        <v>56</v>
      </c>
      <c r="G17" s="29">
        <f>NPV(15%,H15:H25)</f>
        <v>-503251.83878944692</v>
      </c>
      <c r="H17" s="3">
        <f>H16</f>
        <v>163637.82565336963</v>
      </c>
    </row>
    <row r="18" spans="1:8" ht="14.55" x14ac:dyDescent="0.35">
      <c r="H18" s="3">
        <f t="shared" ref="H18:H25" si="0">H17</f>
        <v>163637.82565336963</v>
      </c>
    </row>
    <row r="19" spans="1:8" ht="14.55" x14ac:dyDescent="0.35">
      <c r="H19" s="3">
        <f t="shared" si="0"/>
        <v>163637.82565336963</v>
      </c>
    </row>
    <row r="20" spans="1:8" x14ac:dyDescent="0.3">
      <c r="B20" t="s">
        <v>106</v>
      </c>
      <c r="D20">
        <v>2800</v>
      </c>
      <c r="E20">
        <v>500</v>
      </c>
      <c r="F20" s="1">
        <f>D20*E20</f>
        <v>1400000</v>
      </c>
      <c r="H20" s="3">
        <f t="shared" si="0"/>
        <v>163637.82565336963</v>
      </c>
    </row>
    <row r="21" spans="1:8" ht="14.55" x14ac:dyDescent="0.35">
      <c r="H21" s="3">
        <f t="shared" si="0"/>
        <v>163637.82565336963</v>
      </c>
    </row>
    <row r="22" spans="1:8" ht="14.55" x14ac:dyDescent="0.35">
      <c r="H22" s="3">
        <f t="shared" si="0"/>
        <v>163637.82565336963</v>
      </c>
    </row>
    <row r="23" spans="1:8" ht="14.55" x14ac:dyDescent="0.35">
      <c r="H23" s="3">
        <f t="shared" si="0"/>
        <v>163637.82565336963</v>
      </c>
    </row>
    <row r="24" spans="1:8" ht="14.55" x14ac:dyDescent="0.35">
      <c r="H24" s="3">
        <f t="shared" si="0"/>
        <v>163637.82565336963</v>
      </c>
    </row>
    <row r="25" spans="1:8" ht="14.55" x14ac:dyDescent="0.35">
      <c r="H25" s="3">
        <f t="shared" si="0"/>
        <v>163637.82565336963</v>
      </c>
    </row>
  </sheetData>
  <mergeCells count="2">
    <mergeCell ref="A2:D2"/>
    <mergeCell ref="A1:D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23"/>
  <sheetViews>
    <sheetView workbookViewId="0">
      <selection activeCell="C28" sqref="C28"/>
    </sheetView>
  </sheetViews>
  <sheetFormatPr defaultRowHeight="14.4" x14ac:dyDescent="0.3"/>
  <cols>
    <col min="1" max="1" width="5.77734375" bestFit="1" customWidth="1"/>
    <col min="2" max="2" width="23.88671875" customWidth="1"/>
    <col min="3" max="3" width="13.6640625" bestFit="1" customWidth="1"/>
    <col min="4" max="5" width="11.33203125" style="1" bestFit="1" customWidth="1"/>
    <col min="6" max="6" width="5.88671875" bestFit="1" customWidth="1"/>
    <col min="7" max="7" width="13.6640625" bestFit="1" customWidth="1"/>
    <col min="8" max="8" width="8.77734375" style="1"/>
    <col min="9" max="9" width="9.109375" hidden="1" customWidth="1"/>
  </cols>
  <sheetData>
    <row r="1" spans="1:9" ht="27" thickBot="1" x14ac:dyDescent="0.35">
      <c r="A1" s="72" t="s">
        <v>57</v>
      </c>
      <c r="B1" s="72" t="s">
        <v>129</v>
      </c>
      <c r="C1" s="42" t="s">
        <v>130</v>
      </c>
      <c r="D1" s="50" t="s">
        <v>131</v>
      </c>
      <c r="E1" s="50" t="s">
        <v>71</v>
      </c>
      <c r="F1" s="42" t="s">
        <v>132</v>
      </c>
      <c r="G1" s="42" t="s">
        <v>133</v>
      </c>
    </row>
    <row r="2" spans="1:9" ht="15.45" hidden="1" thickBot="1" x14ac:dyDescent="0.4">
      <c r="A2" s="73"/>
      <c r="B2" s="73"/>
      <c r="C2" s="43" t="s">
        <v>134</v>
      </c>
      <c r="D2" s="51" t="s">
        <v>135</v>
      </c>
      <c r="E2" s="51" t="s">
        <v>135</v>
      </c>
      <c r="F2" s="43" t="s">
        <v>47</v>
      </c>
      <c r="G2" s="43" t="s">
        <v>136</v>
      </c>
    </row>
    <row r="3" spans="1:9" ht="15" hidden="1" thickBot="1" x14ac:dyDescent="0.4">
      <c r="A3" s="74" t="s">
        <v>137</v>
      </c>
      <c r="B3" s="75"/>
      <c r="C3" s="75"/>
      <c r="D3" s="75"/>
      <c r="E3" s="75"/>
      <c r="F3" s="75"/>
      <c r="G3" s="76"/>
    </row>
    <row r="4" spans="1:9" ht="26.55" hidden="1" thickBot="1" x14ac:dyDescent="0.4">
      <c r="A4" s="44">
        <v>1</v>
      </c>
      <c r="B4" s="45" t="s">
        <v>138</v>
      </c>
      <c r="C4" s="54">
        <v>207538</v>
      </c>
      <c r="D4" s="54">
        <f>$I$4*C4/1000000</f>
        <v>391.76203235106391</v>
      </c>
      <c r="E4" s="54">
        <v>1000</v>
      </c>
      <c r="F4" s="54">
        <f>E4/D4*12</f>
        <v>30.630839665561609</v>
      </c>
      <c r="G4" s="54">
        <v>140420</v>
      </c>
      <c r="H4" s="52">
        <v>2</v>
      </c>
      <c r="I4" s="21">
        <f>'P01'!$D$10</f>
        <v>1887.6641017599857</v>
      </c>
    </row>
    <row r="5" spans="1:9" ht="26.55" hidden="1" thickBot="1" x14ac:dyDescent="0.4">
      <c r="A5" s="44">
        <v>2</v>
      </c>
      <c r="B5" s="45" t="s">
        <v>139</v>
      </c>
      <c r="C5" s="54">
        <v>0</v>
      </c>
      <c r="D5" s="54">
        <f>334405/1000</f>
        <v>334.40499999999997</v>
      </c>
      <c r="E5" s="54">
        <v>0</v>
      </c>
      <c r="F5" s="54">
        <v>0</v>
      </c>
      <c r="G5" s="54">
        <v>0</v>
      </c>
      <c r="H5" s="52">
        <v>1</v>
      </c>
    </row>
    <row r="6" spans="1:9" ht="27" thickBot="1" x14ac:dyDescent="0.35">
      <c r="A6" s="44">
        <v>3</v>
      </c>
      <c r="B6" s="45" t="s">
        <v>140</v>
      </c>
      <c r="C6" s="54">
        <v>4161600</v>
      </c>
      <c r="D6" s="54">
        <f>$I$4*C6/1000000</f>
        <v>7855.7029258843568</v>
      </c>
      <c r="E6" s="54">
        <v>50000</v>
      </c>
      <c r="F6" s="54">
        <f>E6/D6*12</f>
        <v>76.377633632633191</v>
      </c>
      <c r="G6" s="54">
        <v>2815738</v>
      </c>
      <c r="H6" s="52">
        <v>3</v>
      </c>
    </row>
    <row r="7" spans="1:9" ht="28.95" hidden="1" thickBot="1" x14ac:dyDescent="0.4">
      <c r="A7" s="44" t="s">
        <v>141</v>
      </c>
      <c r="B7" s="45" t="s">
        <v>142</v>
      </c>
      <c r="C7" s="54">
        <v>4161600</v>
      </c>
      <c r="D7" s="54">
        <f>D6*0.1</f>
        <v>785.57029258843568</v>
      </c>
      <c r="E7" s="54">
        <v>0</v>
      </c>
      <c r="F7" s="54">
        <v>0</v>
      </c>
      <c r="G7" s="54">
        <v>2815738</v>
      </c>
      <c r="H7" s="1">
        <v>1</v>
      </c>
    </row>
    <row r="8" spans="1:9" ht="15" hidden="1" thickBot="1" x14ac:dyDescent="0.4">
      <c r="A8" s="74" t="s">
        <v>143</v>
      </c>
      <c r="B8" s="75"/>
      <c r="C8" s="75"/>
      <c r="D8" s="75"/>
      <c r="E8" s="75"/>
      <c r="F8" s="75"/>
      <c r="G8" s="76"/>
    </row>
    <row r="9" spans="1:9" ht="39.450000000000003" hidden="1" thickBot="1" x14ac:dyDescent="0.4">
      <c r="A9" s="55">
        <v>4</v>
      </c>
      <c r="B9" s="56" t="s">
        <v>144</v>
      </c>
      <c r="C9" s="57">
        <v>185416</v>
      </c>
      <c r="D9" s="57">
        <f>$I$4*C9/1000000</f>
        <v>350.00312709192951</v>
      </c>
      <c r="E9" s="57">
        <v>100</v>
      </c>
      <c r="F9" s="57">
        <f>E9/D9*12</f>
        <v>3.4285407961078471</v>
      </c>
      <c r="G9" s="57">
        <v>125452</v>
      </c>
      <c r="H9" s="52">
        <v>1</v>
      </c>
    </row>
    <row r="10" spans="1:9" ht="26.55" hidden="1" thickBot="1" x14ac:dyDescent="0.4">
      <c r="A10" s="55">
        <v>5</v>
      </c>
      <c r="B10" s="56" t="s">
        <v>145</v>
      </c>
      <c r="C10" s="57">
        <v>30037.39</v>
      </c>
      <c r="D10" s="57">
        <f>$I$4*C10/1000000</f>
        <v>56.700502813564377</v>
      </c>
      <c r="E10" s="57">
        <v>35</v>
      </c>
      <c r="F10" s="57">
        <f>E10/D10*12</f>
        <v>7.4073417193669755</v>
      </c>
      <c r="G10" s="57">
        <v>20323</v>
      </c>
      <c r="H10" s="52">
        <v>1</v>
      </c>
    </row>
    <row r="11" spans="1:9" ht="15" hidden="1" thickBot="1" x14ac:dyDescent="0.4">
      <c r="A11" s="55">
        <v>6</v>
      </c>
      <c r="B11" s="56" t="s">
        <v>146</v>
      </c>
      <c r="C11" s="57">
        <v>15018.7</v>
      </c>
      <c r="D11" s="57">
        <f>$I$4*C11/1000000</f>
        <v>28.350260845102696</v>
      </c>
      <c r="E11" s="57">
        <v>0</v>
      </c>
      <c r="F11" s="57">
        <f>E11/D11*12</f>
        <v>0</v>
      </c>
      <c r="G11" s="57">
        <v>10161</v>
      </c>
      <c r="H11" s="52">
        <v>1</v>
      </c>
    </row>
    <row r="12" spans="1:9" ht="26.55" hidden="1" thickBot="1" x14ac:dyDescent="0.4">
      <c r="A12" s="55">
        <v>7</v>
      </c>
      <c r="B12" s="56" t="s">
        <v>147</v>
      </c>
      <c r="C12" s="57">
        <v>92708</v>
      </c>
      <c r="D12" s="57">
        <f>$I$4*C12/1000000</f>
        <v>175.00156354596476</v>
      </c>
      <c r="E12" s="57">
        <v>200</v>
      </c>
      <c r="F12" s="57">
        <f>E12/D12*12</f>
        <v>13.714163184431388</v>
      </c>
      <c r="G12" s="57">
        <v>20323</v>
      </c>
      <c r="H12" s="53">
        <v>2</v>
      </c>
    </row>
    <row r="13" spans="1:9" ht="15" hidden="1" thickBot="1" x14ac:dyDescent="0.4">
      <c r="A13" s="77" t="s">
        <v>148</v>
      </c>
      <c r="B13" s="78"/>
      <c r="C13" s="78"/>
      <c r="D13" s="78"/>
      <c r="E13" s="78"/>
      <c r="F13" s="78"/>
      <c r="G13" s="79"/>
    </row>
    <row r="14" spans="1:9" ht="27" thickBot="1" x14ac:dyDescent="0.35">
      <c r="A14" s="55">
        <v>8</v>
      </c>
      <c r="B14" s="56" t="s">
        <v>149</v>
      </c>
      <c r="C14" s="57">
        <v>921483.94</v>
      </c>
      <c r="D14" s="57">
        <f>$I$4*C14/1000000</f>
        <v>1739.4521538863526</v>
      </c>
      <c r="E14" s="57">
        <v>4000</v>
      </c>
      <c r="F14" s="57">
        <f>E14/D14*12</f>
        <v>27.594895262141307</v>
      </c>
      <c r="G14" s="57">
        <v>623476</v>
      </c>
      <c r="H14" s="53">
        <v>3</v>
      </c>
    </row>
    <row r="15" spans="1:9" ht="26.55" hidden="1" thickBot="1" x14ac:dyDescent="0.4">
      <c r="A15" s="55">
        <v>9</v>
      </c>
      <c r="B15" s="56" t="s">
        <v>150</v>
      </c>
      <c r="C15" s="57">
        <v>446082</v>
      </c>
      <c r="D15" s="57">
        <f>$I$4*C15/1000000</f>
        <v>842.052977841298</v>
      </c>
      <c r="E15" s="57">
        <v>700</v>
      </c>
      <c r="F15" s="57">
        <f>E15/D15*12</f>
        <v>9.9756193743704706</v>
      </c>
      <c r="G15" s="57">
        <v>301819</v>
      </c>
      <c r="H15" s="53">
        <v>1</v>
      </c>
    </row>
    <row r="16" spans="1:9" ht="26.55" hidden="1" thickBot="1" x14ac:dyDescent="0.4">
      <c r="A16" s="55">
        <v>10</v>
      </c>
      <c r="B16" s="56" t="s">
        <v>151</v>
      </c>
      <c r="C16" s="57">
        <v>67392</v>
      </c>
      <c r="D16" s="57">
        <f>$I$4*C16/1000000</f>
        <v>127.21345914580895</v>
      </c>
      <c r="E16" s="57">
        <v>100</v>
      </c>
      <c r="F16" s="57">
        <f>E16/D16*12</f>
        <v>9.4329641537739288</v>
      </c>
      <c r="G16" s="57">
        <v>45597.43</v>
      </c>
      <c r="H16" s="53">
        <v>1</v>
      </c>
    </row>
    <row r="17" spans="1:8" ht="52.5" hidden="1" thickBot="1" x14ac:dyDescent="0.4">
      <c r="A17" s="55">
        <v>11</v>
      </c>
      <c r="B17" s="56" t="s">
        <v>152</v>
      </c>
      <c r="C17" s="58">
        <v>316050</v>
      </c>
      <c r="D17" s="59">
        <f>$I$4*C17/1000000</f>
        <v>596.59623936124353</v>
      </c>
      <c r="E17" s="60">
        <v>330</v>
      </c>
      <c r="F17" s="57">
        <f>E17/D17*12</f>
        <v>6.6376549812647916</v>
      </c>
      <c r="G17" s="58">
        <v>213839</v>
      </c>
      <c r="H17" s="53">
        <v>1</v>
      </c>
    </row>
    <row r="18" spans="1:8" ht="15" hidden="1" thickBot="1" x14ac:dyDescent="0.4">
      <c r="A18" s="69" t="s">
        <v>153</v>
      </c>
      <c r="B18" s="70"/>
      <c r="C18" s="70"/>
      <c r="D18" s="70"/>
      <c r="E18" s="70"/>
      <c r="F18" s="70"/>
      <c r="G18" s="71"/>
    </row>
    <row r="19" spans="1:8" ht="26.55" hidden="1" thickBot="1" x14ac:dyDescent="0.4">
      <c r="A19" s="61">
        <v>12</v>
      </c>
      <c r="B19" s="56" t="s">
        <v>154</v>
      </c>
      <c r="C19" s="57">
        <v>67392</v>
      </c>
      <c r="D19" s="57">
        <f>$I$4*C19/1000000</f>
        <v>127.21345914580895</v>
      </c>
      <c r="E19" s="57">
        <v>30</v>
      </c>
      <c r="F19" s="57">
        <f>E19/D19*12</f>
        <v>2.8298892461321783</v>
      </c>
      <c r="G19" s="57">
        <v>9348.8799999999992</v>
      </c>
      <c r="H19" s="53">
        <v>1</v>
      </c>
    </row>
    <row r="20" spans="1:8" ht="15" thickBot="1" x14ac:dyDescent="0.35">
      <c r="A20" s="61">
        <v>13</v>
      </c>
      <c r="B20" s="56" t="s">
        <v>155</v>
      </c>
      <c r="C20" s="57">
        <v>194181.12</v>
      </c>
      <c r="D20" s="57">
        <f>$I$4*C20/1000000</f>
        <v>366.548729463548</v>
      </c>
      <c r="E20" s="57">
        <v>1200</v>
      </c>
      <c r="F20" s="57">
        <f>E20/D20*12</f>
        <v>39.285363288735745</v>
      </c>
      <c r="G20" s="57">
        <v>131382.95000000001</v>
      </c>
      <c r="H20" s="53">
        <v>3</v>
      </c>
    </row>
    <row r="21" spans="1:8" ht="14.55" hidden="1" x14ac:dyDescent="0.35">
      <c r="A21" s="62"/>
      <c r="B21" s="63"/>
      <c r="C21" s="62"/>
      <c r="D21" s="62"/>
      <c r="E21" s="62"/>
      <c r="F21" s="62"/>
      <c r="G21" s="62"/>
      <c r="H21" s="53"/>
    </row>
    <row r="22" spans="1:8" ht="14.55" hidden="1" x14ac:dyDescent="0.35">
      <c r="A22" s="2"/>
      <c r="B22" s="2" t="s">
        <v>6</v>
      </c>
      <c r="C22" s="2">
        <f>SUBTOTAL(9,C4:C6,C9:C20)</f>
        <v>5277265.0599999996</v>
      </c>
      <c r="D22" s="2">
        <f t="shared" ref="D22:G22" si="0">SUBTOTAL(9,D4:D6,D9:D20)</f>
        <v>9961.7038092342573</v>
      </c>
      <c r="E22" s="2">
        <f t="shared" si="0"/>
        <v>55200</v>
      </c>
      <c r="F22" s="2">
        <f t="shared" si="0"/>
        <v>143.25789218351025</v>
      </c>
      <c r="G22" s="2">
        <f t="shared" si="0"/>
        <v>3570596.95</v>
      </c>
    </row>
    <row r="23" spans="1:8" ht="15" thickBot="1" x14ac:dyDescent="0.35">
      <c r="B23" s="2" t="s">
        <v>156</v>
      </c>
      <c r="C23" s="2">
        <f>SUBTOTAL(9,C4:C5,C7:C22)</f>
        <v>1115665.06</v>
      </c>
      <c r="D23" s="2">
        <f>SUBTOTAL(9,D4:D5,D6:D22)</f>
        <v>9961.7038092342573</v>
      </c>
      <c r="E23" s="2">
        <f>SUBTOTAL(9,E4:E5,E6:E22)</f>
        <v>55200</v>
      </c>
      <c r="F23" s="57">
        <f>E23/D23*12</f>
        <v>66.494649176978271</v>
      </c>
      <c r="G23" s="2">
        <f>SUBTOTAL(9,G4:G5,G7:G22)</f>
        <v>754858.95</v>
      </c>
    </row>
  </sheetData>
  <autoFilter ref="A1:H22">
    <filterColumn colId="7">
      <filters>
        <filter val="3.00"/>
      </filters>
    </filterColumn>
  </autoFilter>
  <mergeCells count="6">
    <mergeCell ref="A18:G18"/>
    <mergeCell ref="A1:A2"/>
    <mergeCell ref="B1:B2"/>
    <mergeCell ref="A3:G3"/>
    <mergeCell ref="A8:G8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Tiêu thụ điện</vt:lpstr>
      <vt:lpstr>Tiêu thụ xăng</vt:lpstr>
      <vt:lpstr>Tiêu thụ DO</vt:lpstr>
      <vt:lpstr>Tiêu thụ LPG</vt:lpstr>
      <vt:lpstr>Total Energy</vt:lpstr>
      <vt:lpstr>Total Energy cost</vt:lpstr>
      <vt:lpstr>Total Emission</vt:lpstr>
      <vt:lpstr>P01</vt:lpstr>
      <vt:lpstr>P02</vt:lpstr>
      <vt:lpstr>P03</vt:lpstr>
      <vt:lpstr>P03a</vt:lpstr>
      <vt:lpstr>CA01</vt:lpstr>
      <vt:lpstr>CA02</vt:lpstr>
      <vt:lpstr>CA03</vt:lpstr>
      <vt:lpstr>CA04</vt:lpstr>
      <vt:lpstr>AC01</vt:lpstr>
      <vt:lpstr>AC02</vt:lpstr>
      <vt:lpstr>AC03</vt:lpstr>
      <vt:lpstr>AC04</vt:lpstr>
      <vt:lpstr>L01</vt:lpstr>
      <vt:lpstr>L02</vt:lpstr>
      <vt:lpstr>tổng hợp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Dzung Nguyen Tri</dc:creator>
  <cp:lastModifiedBy>ThinkPad</cp:lastModifiedBy>
  <dcterms:created xsi:type="dcterms:W3CDTF">2024-04-27T02:44:44Z</dcterms:created>
  <dcterms:modified xsi:type="dcterms:W3CDTF">2024-05-22T03:53:32Z</dcterms:modified>
</cp:coreProperties>
</file>