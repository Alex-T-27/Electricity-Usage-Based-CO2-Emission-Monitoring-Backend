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win\sources\Au_Bc_Web\WebSite\Web\Upload\export\"/>
    </mc:Choice>
  </mc:AlternateContent>
  <xr:revisionPtr revIDLastSave="0" documentId="13_ncr:1_{3809CA9B-5968-4ADD-AAB9-1E909D4B5F65}" xr6:coauthVersionLast="47" xr6:coauthVersionMax="47" xr10:uidLastSave="{00000000-0000-0000-0000-000000000000}"/>
  <bookViews>
    <workbookView xWindow="-110" yWindow="-110" windowWidth="19420" windowHeight="10540" activeTab="1" xr2:uid="{00000000-000D-0000-FFFF-FFFF00000000}"/>
  </bookViews>
  <sheets>
    <sheet name="Energy n product" sheetId="8" r:id="rId1"/>
    <sheet name="Waste" sheetId="9" r:id="rId2"/>
    <sheet name="Ref tables" sheetId="10" r:id="rId3"/>
    <sheet name="HVAC" sheetId="3" r:id="rId4"/>
    <sheet name="Lighting" sheetId="4" r:id="rId5"/>
    <sheet name="Boiler &amp; Thermopac" sheetId="5" r:id="rId6"/>
    <sheet name="Air compressor" sheetId="6" r:id="rId7"/>
    <sheet name="Bơm quạt" sheetId="7" r:id="rId8"/>
  </sheets>
  <externalReferences>
    <externalReference r:id="rId9"/>
  </externalReferences>
  <definedNames>
    <definedName name="ColumnTitle1">#REF!</definedName>
    <definedName name="RowTitleRegion1..E2">'[1]Factory IDs'!#REF!</definedName>
    <definedName name="RowTitleRegion2..I2">'[1]Factory IDs'!#REF!</definedName>
    <definedName name="RowTitleRegion4..I8">'[1]Factory IDs'!#REF!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9" i="9" l="1"/>
  <c r="Y49" i="9" s="1"/>
  <c r="S49" i="9"/>
  <c r="T49" i="9" s="1"/>
  <c r="N49" i="9"/>
  <c r="O49" i="9" s="1"/>
  <c r="I49" i="9"/>
  <c r="J49" i="9" s="1"/>
  <c r="D49" i="9"/>
  <c r="E49" i="9" s="1"/>
  <c r="X48" i="9"/>
  <c r="Y48" i="9" s="1"/>
  <c r="S48" i="9"/>
  <c r="T48" i="9" s="1"/>
  <c r="N48" i="9"/>
  <c r="O48" i="9" s="1"/>
  <c r="I48" i="9"/>
  <c r="J48" i="9" s="1"/>
  <c r="D48" i="9"/>
  <c r="E48" i="9" s="1"/>
  <c r="X47" i="9"/>
  <c r="Y47" i="9" s="1"/>
  <c r="S47" i="9"/>
  <c r="T47" i="9" s="1"/>
  <c r="N47" i="9"/>
  <c r="O47" i="9" s="1"/>
  <c r="I47" i="9"/>
  <c r="J47" i="9" s="1"/>
  <c r="D47" i="9"/>
  <c r="E47" i="9" s="1"/>
  <c r="X46" i="9"/>
  <c r="Y46" i="9" s="1"/>
  <c r="S46" i="9"/>
  <c r="T46" i="9" s="1"/>
  <c r="N46" i="9"/>
  <c r="O46" i="9" s="1"/>
  <c r="I46" i="9"/>
  <c r="J46" i="9" s="1"/>
  <c r="D46" i="9"/>
  <c r="E46" i="9" s="1"/>
  <c r="X45" i="9"/>
  <c r="Y45" i="9" s="1"/>
  <c r="S45" i="9"/>
  <c r="T45" i="9" s="1"/>
  <c r="N45" i="9"/>
  <c r="O45" i="9" s="1"/>
  <c r="I45" i="9"/>
  <c r="J45" i="9" s="1"/>
  <c r="D45" i="9"/>
  <c r="E45" i="9" s="1"/>
  <c r="X44" i="9"/>
  <c r="Y44" i="9" s="1"/>
  <c r="S44" i="9"/>
  <c r="T44" i="9" s="1"/>
  <c r="N44" i="9"/>
  <c r="O44" i="9" s="1"/>
  <c r="I44" i="9"/>
  <c r="J44" i="9" s="1"/>
  <c r="D44" i="9"/>
  <c r="E44" i="9" s="1"/>
  <c r="X43" i="9"/>
  <c r="Y43" i="9" s="1"/>
  <c r="S43" i="9"/>
  <c r="T43" i="9" s="1"/>
  <c r="N43" i="9"/>
  <c r="O43" i="9" s="1"/>
  <c r="I43" i="9"/>
  <c r="J43" i="9" s="1"/>
  <c r="D43" i="9"/>
  <c r="E43" i="9" s="1"/>
  <c r="X42" i="9"/>
  <c r="Y42" i="9" s="1"/>
  <c r="S42" i="9"/>
  <c r="T42" i="9" s="1"/>
  <c r="N42" i="9"/>
  <c r="O42" i="9" s="1"/>
  <c r="I42" i="9"/>
  <c r="J42" i="9" s="1"/>
  <c r="D42" i="9"/>
  <c r="E42" i="9" s="1"/>
  <c r="X41" i="9"/>
  <c r="Y41" i="9" s="1"/>
  <c r="S41" i="9"/>
  <c r="T41" i="9" s="1"/>
  <c r="N41" i="9"/>
  <c r="O41" i="9" s="1"/>
  <c r="I41" i="9"/>
  <c r="J41" i="9" s="1"/>
  <c r="D41" i="9"/>
  <c r="E41" i="9" s="1"/>
  <c r="X40" i="9"/>
  <c r="Y40" i="9" s="1"/>
  <c r="S40" i="9"/>
  <c r="T40" i="9" s="1"/>
  <c r="N40" i="9"/>
  <c r="O40" i="9" s="1"/>
  <c r="I40" i="9"/>
  <c r="J40" i="9" s="1"/>
  <c r="D40" i="9"/>
  <c r="E40" i="9" s="1"/>
  <c r="X39" i="9"/>
  <c r="Y39" i="9" s="1"/>
  <c r="S39" i="9"/>
  <c r="T39" i="9" s="1"/>
  <c r="N39" i="9"/>
  <c r="O39" i="9" s="1"/>
  <c r="I39" i="9"/>
  <c r="J39" i="9" s="1"/>
  <c r="D39" i="9"/>
  <c r="E39" i="9" s="1"/>
  <c r="X38" i="9"/>
  <c r="Y38" i="9" s="1"/>
  <c r="S38" i="9"/>
  <c r="T38" i="9" s="1"/>
  <c r="N38" i="9"/>
  <c r="O38" i="9" s="1"/>
  <c r="I38" i="9"/>
  <c r="J38" i="9" s="1"/>
  <c r="D38" i="9"/>
  <c r="E38" i="9" s="1"/>
  <c r="X37" i="9"/>
  <c r="Y37" i="9" s="1"/>
  <c r="S37" i="9"/>
  <c r="T37" i="9" s="1"/>
  <c r="N37" i="9"/>
  <c r="O37" i="9" s="1"/>
  <c r="I37" i="9"/>
  <c r="J37" i="9" s="1"/>
  <c r="D37" i="9"/>
  <c r="E37" i="9" s="1"/>
  <c r="X36" i="9"/>
  <c r="Y36" i="9" s="1"/>
  <c r="S36" i="9"/>
  <c r="T36" i="9" s="1"/>
  <c r="N36" i="9"/>
  <c r="O36" i="9" s="1"/>
  <c r="I36" i="9"/>
  <c r="J36" i="9" s="1"/>
  <c r="D36" i="9"/>
  <c r="E36" i="9" s="1"/>
  <c r="X35" i="9"/>
  <c r="Y35" i="9" s="1"/>
  <c r="S35" i="9"/>
  <c r="T35" i="9" s="1"/>
  <c r="N35" i="9"/>
  <c r="O35" i="9" s="1"/>
  <c r="I35" i="9"/>
  <c r="J35" i="9" s="1"/>
  <c r="D35" i="9"/>
  <c r="E35" i="9" s="1"/>
  <c r="X34" i="9"/>
  <c r="Y34" i="9" s="1"/>
  <c r="S34" i="9"/>
  <c r="T34" i="9" s="1"/>
  <c r="N34" i="9"/>
  <c r="O34" i="9" s="1"/>
  <c r="I34" i="9"/>
  <c r="J34" i="9" s="1"/>
  <c r="D34" i="9"/>
  <c r="E34" i="9" s="1"/>
  <c r="X33" i="9"/>
  <c r="Y33" i="9" s="1"/>
  <c r="S33" i="9"/>
  <c r="T33" i="9" s="1"/>
  <c r="N33" i="9"/>
  <c r="O33" i="9" s="1"/>
  <c r="I33" i="9"/>
  <c r="J33" i="9" s="1"/>
  <c r="D33" i="9"/>
  <c r="E33" i="9" s="1"/>
  <c r="X32" i="9"/>
  <c r="Y32" i="9" s="1"/>
  <c r="S32" i="9"/>
  <c r="T32" i="9" s="1"/>
  <c r="N32" i="9"/>
  <c r="O32" i="9" s="1"/>
  <c r="I32" i="9"/>
  <c r="J32" i="9" s="1"/>
  <c r="D32" i="9"/>
  <c r="E32" i="9" s="1"/>
  <c r="X31" i="9"/>
  <c r="Y31" i="9" s="1"/>
  <c r="S31" i="9"/>
  <c r="T31" i="9" s="1"/>
  <c r="N31" i="9"/>
  <c r="O31" i="9" s="1"/>
  <c r="I31" i="9"/>
  <c r="J31" i="9" s="1"/>
  <c r="D31" i="9"/>
  <c r="E31" i="9" s="1"/>
  <c r="X30" i="9"/>
  <c r="Y30" i="9" s="1"/>
  <c r="S30" i="9"/>
  <c r="T30" i="9" s="1"/>
  <c r="N30" i="9"/>
  <c r="O30" i="9" s="1"/>
  <c r="I30" i="9"/>
  <c r="J30" i="9" s="1"/>
  <c r="D30" i="9"/>
  <c r="E30" i="9" s="1"/>
  <c r="X29" i="9"/>
  <c r="Y29" i="9" s="1"/>
  <c r="S29" i="9"/>
  <c r="T29" i="9" s="1"/>
  <c r="N29" i="9"/>
  <c r="O29" i="9" s="1"/>
  <c r="I29" i="9"/>
  <c r="J29" i="9" s="1"/>
  <c r="D29" i="9"/>
  <c r="E29" i="9" s="1"/>
  <c r="X28" i="9"/>
  <c r="Y28" i="9" s="1"/>
  <c r="S28" i="9"/>
  <c r="T28" i="9" s="1"/>
  <c r="N28" i="9"/>
  <c r="O28" i="9" s="1"/>
  <c r="I28" i="9"/>
  <c r="J28" i="9" s="1"/>
  <c r="D28" i="9"/>
  <c r="E28" i="9" s="1"/>
  <c r="X27" i="9"/>
  <c r="Y27" i="9" s="1"/>
  <c r="S27" i="9"/>
  <c r="S25" i="9" s="1"/>
  <c r="N27" i="9"/>
  <c r="O27" i="9" s="1"/>
  <c r="I27" i="9"/>
  <c r="I25" i="9" s="1"/>
  <c r="D27" i="9"/>
  <c r="E27" i="9" s="1"/>
  <c r="W25" i="9"/>
  <c r="V25" i="9"/>
  <c r="O9" i="9" s="1"/>
  <c r="R25" i="9"/>
  <c r="Q25" i="9"/>
  <c r="M9" i="9" s="1"/>
  <c r="M25" i="9"/>
  <c r="L25" i="9"/>
  <c r="K9" i="9" s="1"/>
  <c r="H25" i="9"/>
  <c r="G25" i="9"/>
  <c r="I9" i="9" s="1"/>
  <c r="C25" i="9"/>
  <c r="B25" i="9"/>
  <c r="G9" i="9" s="1"/>
  <c r="G95" i="8"/>
  <c r="I95" i="8" s="1"/>
  <c r="F95" i="8"/>
  <c r="H95" i="8" s="1"/>
  <c r="G94" i="8"/>
  <c r="I94" i="8" s="1"/>
  <c r="F94" i="8"/>
  <c r="H94" i="8" s="1"/>
  <c r="G93" i="8"/>
  <c r="I93" i="8" s="1"/>
  <c r="F93" i="8"/>
  <c r="H93" i="8" s="1"/>
  <c r="G92" i="8"/>
  <c r="I92" i="8" s="1"/>
  <c r="F92" i="8"/>
  <c r="H92" i="8" s="1"/>
  <c r="G91" i="8"/>
  <c r="I91" i="8" s="1"/>
  <c r="F91" i="8"/>
  <c r="H91" i="8" s="1"/>
  <c r="G90" i="8"/>
  <c r="I90" i="8" s="1"/>
  <c r="F90" i="8"/>
  <c r="H90" i="8" s="1"/>
  <c r="G89" i="8"/>
  <c r="I89" i="8" s="1"/>
  <c r="F89" i="8"/>
  <c r="H89" i="8" s="1"/>
  <c r="G88" i="8"/>
  <c r="I88" i="8" s="1"/>
  <c r="F88" i="8"/>
  <c r="H88" i="8" s="1"/>
  <c r="G87" i="8"/>
  <c r="F87" i="8"/>
  <c r="H87" i="8" s="1"/>
  <c r="G86" i="8"/>
  <c r="I86" i="8" s="1"/>
  <c r="F86" i="8"/>
  <c r="F82" i="8" s="1"/>
  <c r="E82" i="8"/>
  <c r="D82" i="8"/>
  <c r="AN8" i="8" s="1"/>
  <c r="C82" i="8"/>
  <c r="AM8" i="8" s="1"/>
  <c r="I80" i="8"/>
  <c r="G80" i="8"/>
  <c r="F80" i="8"/>
  <c r="H80" i="8" s="1"/>
  <c r="G79" i="8"/>
  <c r="I79" i="8" s="1"/>
  <c r="F79" i="8"/>
  <c r="H79" i="8" s="1"/>
  <c r="I78" i="8"/>
  <c r="G78" i="8"/>
  <c r="F78" i="8"/>
  <c r="H78" i="8" s="1"/>
  <c r="G77" i="8"/>
  <c r="I77" i="8" s="1"/>
  <c r="F77" i="8"/>
  <c r="H77" i="8" s="1"/>
  <c r="I76" i="8"/>
  <c r="G76" i="8"/>
  <c r="F76" i="8"/>
  <c r="H76" i="8" s="1"/>
  <c r="G75" i="8"/>
  <c r="I75" i="8" s="1"/>
  <c r="F75" i="8"/>
  <c r="H75" i="8" s="1"/>
  <c r="I74" i="8"/>
  <c r="G74" i="8"/>
  <c r="F74" i="8"/>
  <c r="H74" i="8" s="1"/>
  <c r="G73" i="8"/>
  <c r="I73" i="8" s="1"/>
  <c r="F73" i="8"/>
  <c r="H73" i="8" s="1"/>
  <c r="I72" i="8"/>
  <c r="G72" i="8"/>
  <c r="F72" i="8"/>
  <c r="G71" i="8"/>
  <c r="I71" i="8" s="1"/>
  <c r="F71" i="8"/>
  <c r="H71" i="8" s="1"/>
  <c r="E67" i="8"/>
  <c r="D67" i="8"/>
  <c r="AB8" i="8" s="1"/>
  <c r="C67" i="8"/>
  <c r="I65" i="8"/>
  <c r="H65" i="8"/>
  <c r="G65" i="8"/>
  <c r="F65" i="8"/>
  <c r="I64" i="8"/>
  <c r="G64" i="8"/>
  <c r="F64" i="8"/>
  <c r="H64" i="8" s="1"/>
  <c r="I63" i="8"/>
  <c r="H63" i="8"/>
  <c r="G63" i="8"/>
  <c r="F63" i="8"/>
  <c r="I62" i="8"/>
  <c r="G62" i="8"/>
  <c r="F62" i="8"/>
  <c r="H62" i="8" s="1"/>
  <c r="I61" i="8"/>
  <c r="H61" i="8"/>
  <c r="G61" i="8"/>
  <c r="F61" i="8"/>
  <c r="I60" i="8"/>
  <c r="G60" i="8"/>
  <c r="F60" i="8"/>
  <c r="H60" i="8" s="1"/>
  <c r="I59" i="8"/>
  <c r="H59" i="8"/>
  <c r="G59" i="8"/>
  <c r="F59" i="8"/>
  <c r="I58" i="8"/>
  <c r="G58" i="8"/>
  <c r="F58" i="8"/>
  <c r="H58" i="8" s="1"/>
  <c r="I57" i="8"/>
  <c r="H57" i="8"/>
  <c r="G57" i="8"/>
  <c r="F57" i="8"/>
  <c r="G56" i="8"/>
  <c r="G52" i="8" s="1"/>
  <c r="F56" i="8"/>
  <c r="H56" i="8" s="1"/>
  <c r="E52" i="8"/>
  <c r="D52" i="8"/>
  <c r="X8" i="8" s="1"/>
  <c r="C52" i="8"/>
  <c r="H50" i="8"/>
  <c r="G50" i="8"/>
  <c r="I50" i="8" s="1"/>
  <c r="F50" i="8"/>
  <c r="I49" i="8"/>
  <c r="H49" i="8"/>
  <c r="G49" i="8"/>
  <c r="F49" i="8"/>
  <c r="H48" i="8"/>
  <c r="G48" i="8"/>
  <c r="I48" i="8" s="1"/>
  <c r="F48" i="8"/>
  <c r="I47" i="8"/>
  <c r="H47" i="8"/>
  <c r="G47" i="8"/>
  <c r="F47" i="8"/>
  <c r="H46" i="8"/>
  <c r="G46" i="8"/>
  <c r="I46" i="8" s="1"/>
  <c r="F46" i="8"/>
  <c r="I45" i="8"/>
  <c r="H45" i="8"/>
  <c r="G45" i="8"/>
  <c r="F45" i="8"/>
  <c r="H44" i="8"/>
  <c r="G44" i="8"/>
  <c r="I44" i="8" s="1"/>
  <c r="F44" i="8"/>
  <c r="I43" i="8"/>
  <c r="H43" i="8"/>
  <c r="G43" i="8"/>
  <c r="F43" i="8"/>
  <c r="H42" i="8"/>
  <c r="G42" i="8"/>
  <c r="I42" i="8" s="1"/>
  <c r="F42" i="8"/>
  <c r="I41" i="8"/>
  <c r="H41" i="8"/>
  <c r="G41" i="8"/>
  <c r="F41" i="8"/>
  <c r="H40" i="8"/>
  <c r="G40" i="8"/>
  <c r="I40" i="8" s="1"/>
  <c r="F40" i="8"/>
  <c r="G39" i="8"/>
  <c r="I39" i="8" s="1"/>
  <c r="F39" i="8"/>
  <c r="F35" i="8" s="1"/>
  <c r="E35" i="8"/>
  <c r="D35" i="8"/>
  <c r="T8" i="8" s="1"/>
  <c r="C35" i="8"/>
  <c r="S8" i="8" s="1"/>
  <c r="H33" i="8"/>
  <c r="J33" i="8" s="1"/>
  <c r="G33" i="8"/>
  <c r="I33" i="8" s="1"/>
  <c r="I32" i="8"/>
  <c r="H32" i="8"/>
  <c r="J32" i="8" s="1"/>
  <c r="G32" i="8"/>
  <c r="H31" i="8"/>
  <c r="J31" i="8" s="1"/>
  <c r="G31" i="8"/>
  <c r="I31" i="8" s="1"/>
  <c r="I30" i="8"/>
  <c r="H30" i="8"/>
  <c r="J30" i="8" s="1"/>
  <c r="G30" i="8"/>
  <c r="H29" i="8"/>
  <c r="J29" i="8" s="1"/>
  <c r="G29" i="8"/>
  <c r="I29" i="8" s="1"/>
  <c r="I28" i="8"/>
  <c r="H28" i="8"/>
  <c r="J28" i="8" s="1"/>
  <c r="G28" i="8"/>
  <c r="H27" i="8"/>
  <c r="J27" i="8" s="1"/>
  <c r="G27" i="8"/>
  <c r="H26" i="8"/>
  <c r="H22" i="8" s="1"/>
  <c r="G26" i="8"/>
  <c r="I26" i="8" s="1"/>
  <c r="F22" i="8"/>
  <c r="E22" i="8"/>
  <c r="P8" i="8" s="1"/>
  <c r="D22" i="8"/>
  <c r="O8" i="8" s="1"/>
  <c r="C22" i="8"/>
  <c r="N8" i="8" s="1"/>
  <c r="AT8" i="8"/>
  <c r="AL8" i="8"/>
  <c r="AK8" i="8"/>
  <c r="AH8" i="8"/>
  <c r="AG8" i="8"/>
  <c r="AA8" i="8"/>
  <c r="W8" i="8"/>
  <c r="J8" i="8"/>
  <c r="I8" i="8"/>
  <c r="G8" i="8"/>
  <c r="F8" i="8"/>
  <c r="X25" i="9" l="1"/>
  <c r="N25" i="9"/>
  <c r="D25" i="9"/>
  <c r="G82" i="8"/>
  <c r="F67" i="8"/>
  <c r="G67" i="8"/>
  <c r="I56" i="8"/>
  <c r="I52" i="8" s="1"/>
  <c r="Z8" i="8" s="1"/>
  <c r="F52" i="8"/>
  <c r="H39" i="8"/>
  <c r="H35" i="8" s="1"/>
  <c r="U8" i="8" s="1"/>
  <c r="AQ8" i="8"/>
  <c r="AX8" i="8" s="1"/>
  <c r="G22" i="8"/>
  <c r="H52" i="8"/>
  <c r="Y8" i="8" s="1"/>
  <c r="I67" i="8"/>
  <c r="AD8" i="8" s="1"/>
  <c r="Y25" i="9"/>
  <c r="P9" i="9" s="1"/>
  <c r="E25" i="9"/>
  <c r="H9" i="9" s="1"/>
  <c r="I35" i="8"/>
  <c r="V8" i="8" s="1"/>
  <c r="O25" i="9"/>
  <c r="L9" i="9" s="1"/>
  <c r="T27" i="9"/>
  <c r="T25" i="9" s="1"/>
  <c r="N9" i="9" s="1"/>
  <c r="J26" i="8"/>
  <c r="J22" i="8" s="1"/>
  <c r="R8" i="8" s="1"/>
  <c r="H72" i="8"/>
  <c r="H67" i="8" s="1"/>
  <c r="AC8" i="8" s="1"/>
  <c r="I87" i="8"/>
  <c r="I82" i="8" s="1"/>
  <c r="AP8" i="8" s="1"/>
  <c r="G35" i="8"/>
  <c r="I27" i="8"/>
  <c r="I22" i="8" s="1"/>
  <c r="Q8" i="8" s="1"/>
  <c r="H86" i="8"/>
  <c r="H82" i="8" s="1"/>
  <c r="AO8" i="8" s="1"/>
  <c r="J27" i="9"/>
  <c r="J25" i="9" s="1"/>
  <c r="J9" i="9" s="1"/>
  <c r="AR8" i="8" l="1"/>
  <c r="AS8" i="8"/>
  <c r="AY8" i="8" s="1"/>
  <c r="Q9" i="9"/>
  <c r="AU8" i="8" s="1"/>
  <c r="AZ8" i="8" l="1"/>
  <c r="AW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tc={7C0F065B-055C-4125-BD49-84CA8D3AA286}</author>
    <author>tc={4C5D03A2-2F0A-41B8-89BE-1CA714AA2900}</author>
    <author>tc={910D7DA5-6654-4A8C-B47F-8B7D527C07E8}</author>
    <author>tc={3E579550-2BCA-45E7-B9F8-5AB96BC054C4}</author>
    <author>Admin</author>
    <author>tc={E69C5306-295C-46E7-AA3E-7C6418225DFF}</author>
  </authors>
  <commentList>
    <comment ref="F8" authorId="0" shapeId="0" xr:uid="{7C0F065B-055C-4125-BD49-84CA8D3AA286}">
      <text>
        <t>[Threaded comment]
Your version of Excel allows you to read this threaded comment; however, any edits to it will get removed if the file is opened in a newer version of Excel. Learn more: https://go.microsoft.com/fwlink/?linkid=870924
Comment:
    Cố định hệ số điện 3.6</t>
      </text>
    </comment>
    <comment ref="G8" authorId="1" shapeId="0" xr:uid="{4C5D03A2-2F0A-41B8-89BE-1CA714AA2900}">
      <text>
        <t>[Threaded comment]
Your version of Excel allows you to read this threaded comment; however, any edits to it will get removed if the file is opened in a newer version of Excel. Learn more: https://go.microsoft.com/fwlink/?linkid=870924
Comment:
    = E*0.722
Reply:
    Thắng tạo bảng định nghĩa update hệ số theo từng năm</t>
      </text>
    </comment>
    <comment ref="I8" authorId="2" shapeId="0" xr:uid="{910D7DA5-6654-4A8C-B47F-8B7D527C07E8}">
      <text>
        <t>[Threaded comment]
Your version of Excel allows you to read this threaded comment; however, any edits to it will get removed if the file is opened in a newer version of Excel. Learn more: https://go.microsoft.com/fwlink/?linkid=870924
Comment:
    Cố định hệ số điện 3.6</t>
      </text>
    </comment>
    <comment ref="J8" authorId="3" shapeId="0" xr:uid="{3E579550-2BCA-45E7-B9F8-5AB96BC054C4}">
      <text>
        <t>[Threaded comment]
Your version of Excel allows you to read this threaded comment; however, any edits to it will get removed if the file is opened in a newer version of Excel. Learn more: https://go.microsoft.com/fwlink/?linkid=870924
Comment:
    = E*0.722
Reply:
    Thắng tạo bảng định nghĩa update hệ số theo từng năm</t>
      </text>
    </comment>
    <comment ref="AV8" authorId="4" shapeId="0" xr:uid="{47385E0D-B569-4150-8304-E7821AB50E66}">
      <text>
        <r>
          <rPr>
            <b/>
            <sz val="9"/>
            <color indexed="81"/>
            <rFont val="Tahoma"/>
            <charset val="1"/>
          </rPr>
          <t>Admin: Hiện tại bỏ trống</t>
        </r>
      </text>
    </comment>
    <comment ref="AY12" authorId="5" shapeId="0" xr:uid="{E69C5306-295C-46E7-AA3E-7C6418225DFF}">
      <text>
        <t>[Threaded comment]
Your version of Excel allows you to read this threaded comment; however, any edits to it will get removed if the file is opened in a newer version of Excel. Learn more: https://go.microsoft.com/fwlink/?linkid=870924
Comment:
    Update ngày 15/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D4" authorId="0" shapeId="0" xr:uid="{F4B1A719-579B-4597-9BFB-7D510BD1FC27}">
      <text>
        <r>
          <rPr>
            <b/>
            <sz val="9"/>
            <color indexed="81"/>
            <rFont val="Tahoma"/>
            <family val="2"/>
          </rPr>
          <t>acer:</t>
        </r>
        <r>
          <rPr>
            <sz val="9"/>
            <color indexed="81"/>
            <rFont val="Tahoma"/>
            <family val="2"/>
          </rPr>
          <t xml:space="preserve">
(Ban hành kèm theo Thông tư số 20/2016/TT-BCT, ngày 20 tháng 9 năm 2016 của Bộ trưởng Bộ Công Thương)</t>
        </r>
      </text>
    </comment>
    <comment ref="G4" authorId="0" shapeId="0" xr:uid="{6F5F5565-FCAD-4B38-81F5-E329F5D77965}">
      <text>
        <r>
          <rPr>
            <b/>
            <sz val="9"/>
            <color indexed="81"/>
            <rFont val="Tahoma"/>
            <family val="2"/>
          </rPr>
          <t>acer:</t>
        </r>
        <r>
          <rPr>
            <sz val="9"/>
            <color indexed="81"/>
            <rFont val="Tahoma"/>
            <family val="2"/>
          </rPr>
          <t xml:space="preserve">
(Ban hành kèm theo Thông tư số 20/2016/TT-BCT, ngày 20 tháng 9 năm 2016 của Bộ trưởng Bộ Công Thương)
TT Nhiên liệu Đơn vị Hệ số chuyển đổi đơn vị năng lượng (MJ)
I Điện kWh 3,6
II Than và khí    
2.1 Than cốc kg 31,402
2.2 Than antraxit cám loại 1,2 kg 29,309
 Than antraxit cám loại 3,4 kg 25,122
 Than antraxit cám loại 5,6 kg 20,935
2.3 Khí lò cốc Nm3 38,7
2.4 Khí lò cao Nm3 2,47
2.5 Khí lò chuyển Nm3 7,06
2.6 Khí thiên nhiên Nm3 37,683
2.7 LPG kg 45,638
III Dầu    
3.1 Dầu DO Kg 42,707
  l 36,845
3.2 Dầu FO Kg 41,451
  l 39,358
VI Năng lượng sinh khối    
4.1 Gỗ / Trấu kg 15,6
4.2 Các dạng sinh khối khác kg 11,6</t>
        </r>
      </text>
    </comment>
    <comment ref="M4" authorId="0" shapeId="0" xr:uid="{E3BA5720-1DE8-4087-8B45-5FD3C448B496}">
      <text>
        <r>
          <rPr>
            <b/>
            <sz val="9"/>
            <color indexed="81"/>
            <rFont val="Tahoma"/>
            <family val="2"/>
          </rPr>
          <t>acer:</t>
        </r>
        <r>
          <rPr>
            <sz val="9"/>
            <color indexed="81"/>
            <rFont val="Tahoma"/>
            <family val="2"/>
          </rPr>
          <t xml:space="preserve">
(Ban hành kèm theo Thông tư số 20/2016/TT-BCT, ngày 20 tháng 9 năm 2016 của Bộ trưởng Bộ Công Thương)</t>
        </r>
      </text>
    </comment>
    <comment ref="G5" authorId="0" shapeId="0" xr:uid="{FED08046-E827-4B73-B44D-81CC2ADA3587}">
      <text>
        <r>
          <rPr>
            <b/>
            <sz val="9"/>
            <color indexed="81"/>
            <rFont val="Tahoma"/>
            <family val="2"/>
          </rPr>
          <t>acer:</t>
        </r>
        <r>
          <rPr>
            <sz val="9"/>
            <color indexed="81"/>
            <rFont val="Tahoma"/>
            <family val="2"/>
          </rPr>
          <t xml:space="preserve">
(Ban hành kèm theo Thông tư số 20/2016/TT-BCT, ngày 20 tháng 9 năm 2016 của Bộ trưởng Bộ Công Thương)
TT Nhiên liệu Đơn vị Hệ số chuyển đổi đơn vị năng lượng (MJ)
I Điện kWh 3,6
II Than và khí    
2.1 Than cốc kg 31,402
2.2 Than antraxit cám loại 1,2 kg 29,309
 Than antraxit cám loại 3,4 kg 25,122
 Than antraxit cám loại 5,6 kg 20,935
2.3 Khí lò cốc Nm3 38,7
2.4 Khí lò cao Nm3 2,47
2.5 Khí lò chuyển Nm3 7,06
2.6 Khí thiên nhiên Nm3 37,683
2.7 LPG kg 45,638
III Dầu    
3.1 Dầu DO Kg 42,707
  l 36,845
3.2 Dầu FO Kg 41,451
  l 39,358
VI Năng lượng sinh khối    
4.1 Gỗ / Trấu kg 15,6
4.2 Các dạng sinh khối khác kg 11,6</t>
        </r>
      </text>
    </comment>
    <comment ref="G6" authorId="0" shapeId="0" xr:uid="{3B786D69-1891-4224-BF26-0C500560AD02}">
      <text>
        <r>
          <rPr>
            <b/>
            <sz val="9"/>
            <color indexed="81"/>
            <rFont val="Tahoma"/>
            <family val="2"/>
          </rPr>
          <t>acer:</t>
        </r>
        <r>
          <rPr>
            <sz val="9"/>
            <color indexed="81"/>
            <rFont val="Tahoma"/>
            <family val="2"/>
          </rPr>
          <t xml:space="preserve">
(Ban hành kèm theo Thông tư số 20/2016/TT-BCT, ngày 20 tháng 9 năm 2016 của Bộ trưởng Bộ Công Thương)
TT Nhiên liệu Đơn vị Hệ số chuyển đổi đơn vị năng lượng (MJ)
I Điện kWh 3,6
II Than và khí    
2.1 Than cốc kg 31,402
2.2 Than antraxit cám loại 1,2 kg 29,309
 Than antraxit cám loại 3,4 kg 25,122
 Than antraxit cám loại 5,6 kg 20,935
2.3 Khí lò cốc Nm3 38,7
2.4 Khí lò cao Nm3 2,47
2.5 Khí lò chuyển Nm3 7,06
2.6 Khí thiên nhiên Nm3 37,683
2.7 LPG kg 45,638
III Dầu    
3.1 Dầu DO Kg 42,707
  l 36,845
3.2 Dầu FO Kg 41,451
  l 39,358
VI Năng lượng sinh khối    
4.1 Gỗ / Trấu kg 15,6
4.2 Các dạng sinh khối khác kg 11,6</t>
        </r>
      </text>
    </comment>
  </commentList>
</comments>
</file>

<file path=xl/sharedStrings.xml><?xml version="1.0" encoding="utf-8"?>
<sst xmlns="http://schemas.openxmlformats.org/spreadsheetml/2006/main" count="329" uniqueCount="218">
  <si>
    <t>Bảng tổng hợp</t>
  </si>
  <si>
    <t>Total Product</t>
  </si>
  <si>
    <t>Electricity consumption (kWh)用电量 Lượng điện tiêu thụ</t>
  </si>
  <si>
    <t>Coal  煤的 Than - Lò hơi</t>
  </si>
  <si>
    <t>Nhiên liệu sinh khối Biomass 生物质能</t>
  </si>
  <si>
    <t>Petrol for Car汽车汽油 Xăng cho ô tô</t>
  </si>
  <si>
    <t>Diesel for car汽车柴油 Dầu cho ô tô</t>
  </si>
  <si>
    <t>Diesel for forklift叉车柴油 - Dầu cho xe nâng</t>
  </si>
  <si>
    <t>Gas for canteen餐厅燃气Gas dùng cho nhà ăn</t>
  </si>
  <si>
    <t>Cost ($)</t>
  </si>
  <si>
    <t>MJ</t>
  </si>
  <si>
    <t>Scope 1</t>
  </si>
  <si>
    <t>Scope 2</t>
  </si>
  <si>
    <t>Scope 3</t>
  </si>
  <si>
    <t>Offset CO2</t>
  </si>
  <si>
    <t>KPIs</t>
  </si>
  <si>
    <t>SCOPE 2</t>
  </si>
  <si>
    <t>SCOPE 1</t>
  </si>
  <si>
    <t>Category 5</t>
  </si>
  <si>
    <t>Tổng sản lượng ( theo tấn, đôi, cái…)</t>
  </si>
  <si>
    <t>#</t>
  </si>
  <si>
    <t>Total
 Products
 (Pairs) 总产量
 Tổng sản lượng ( theo tấn, đôi, cái…)</t>
  </si>
  <si>
    <t>Electricity consumption
 from EVN (kWh) 用电量
 Lượng điện tiêu thụ</t>
  </si>
  <si>
    <t>Cost of electricity 
 from EVN (VNĐ) 金额
 Tiền điện (VNĐ)</t>
  </si>
  <si>
    <t>Nhiệt trị (MJ) HHV - Gross Calorific Value (MJ/kg)
总热值</t>
  </si>
  <si>
    <t>Lượng phát thải CO2
 emission
 (kg) CO2二氧化碳排放</t>
  </si>
  <si>
    <t>Electricity consumption from Solar 
 Mua điện mặt trời
 (kWh)</t>
  </si>
  <si>
    <t>Offset CO2
  (kg) CO2</t>
  </si>
  <si>
    <t>Solar Electricity cost 
 Chi phí mua điện mặt trời 
 (VND)</t>
  </si>
  <si>
    <t>Solar electricity sell to grid
 Điện mặt trời công ty bán lên lưới 
 (kWh)</t>
  </si>
  <si>
    <t>Electricity money sell to grid
 Tiền bán điện mặt trời nối lưới 
 (VND)</t>
  </si>
  <si>
    <t>Generated 
 (kWh)
 发电量
 Lượng điện từ máy phát điện (kWh)</t>
  </si>
  <si>
    <t>DO consumption
 for generator
 (Lit) 柴油使用量
 Lượng dầu diezel sử dụng cho máy phát điện (Lít)</t>
  </si>
  <si>
    <t>Cost of generated
 (VNĐ 金额
 Tiền dầu cho máy phát điện(VNĐ)</t>
  </si>
  <si>
    <t>Coal consumption
 (Tấn) 煤的使用量
 Lượng than sử dụng (Tấn)</t>
  </si>
  <si>
    <t>Coal used
 (VNĐ) 金额
 Tiền Than (VNĐ</t>
  </si>
  <si>
    <t>生物质能 Trấu đốt sử dụng (Tấn) Cost of Rice husk consumption 
 (Tấn)</t>
  </si>
  <si>
    <t>生物质能 Tổng chi phí nhiên liệu sinh khối Total
 biomass
 consumption
 (Kg)</t>
  </si>
  <si>
    <t>Oil consumption
 for car
 (L) 汽油使用量
 Lượng xăng sử dụng (L)</t>
  </si>
  <si>
    <t>Cost of
 oil for car
 (USD) 金额
 Tiền xăng cho xe ô tô (VNĐ</t>
  </si>
  <si>
    <t>Diesel consumption
 for car
 (L) 汽车柴油使用量
 Lượng dầu diezel sử dụng cho ô tô</t>
  </si>
  <si>
    <t>Cost of
 diesel for car
 (USD) 金额
 Tiền dầu cho xe oto (VNĐ)</t>
  </si>
  <si>
    <t>Diesel consumption for forklift (L)叉车柴油使用量
 Lượng dầu diezel sử dụng cho xe nâng (L)</t>
  </si>
  <si>
    <t>Cost of
 diesel for forklift
 (VNĐ) 金额
 Tiền dầu cho xe nâng (VNĐ)</t>
  </si>
  <si>
    <t>Gas consumption
 (kg) 燃气使用量
 Lượng gas sử dụng (Kg)</t>
  </si>
  <si>
    <t>Chi phí mua gas (VNĐ) Cost of 
 Gas
 (VNĐ 金额
 Tiền mua Gas (VNĐ)</t>
  </si>
  <si>
    <t>Total energy cost (US$)
总共能源费用 Tổng chi phí năng lượng (VNĐ)</t>
  </si>
  <si>
    <t>Total energy consumption (MJ)
总共能源用量 Tổng năng lượng sử dụng (MJ)</t>
  </si>
  <si>
    <t>KPI -1 Năng lượng/sản phẩm
 MJ/SP</t>
  </si>
  <si>
    <t>KPI -2
 Energy cost /SP (VNĐ/SP) Chi phí năng lượng/SP</t>
  </si>
  <si>
    <t>Lượng phát thải CO2/SP
 emission
 (kg) CO2二氧化碳排放</t>
  </si>
  <si>
    <t>Tonne oil 
 equivalent
 (TOE) Tấn dầu quy đổi tương đương (TOE)</t>
  </si>
  <si>
    <t xml:space="preserve"> </t>
  </si>
  <si>
    <t>IT</t>
  </si>
  <si>
    <t>Energy - dầu - phát điện</t>
  </si>
  <si>
    <t>Loai dầu</t>
  </si>
  <si>
    <t>Hệ số nhiệt trị</t>
  </si>
  <si>
    <t>Hệ số CO2</t>
  </si>
  <si>
    <t>Dầu FO-Lít</t>
  </si>
  <si>
    <t>Loại than</t>
  </si>
  <si>
    <t>Nhiệt trị (MJ) HHV - Gross Calorific Value (MJ)
总热值</t>
  </si>
  <si>
    <t>Than antraxit cám loại 3,4</t>
  </si>
  <si>
    <t>Loại sinh khối</t>
  </si>
  <si>
    <t>Trấu nén</t>
  </si>
  <si>
    <t>Oil consumption
 for car
 (L) 汽油使用量
 Lượng dầu sử dụng (L)</t>
  </si>
  <si>
    <t>Cost of
 oil for car
 (USD) 金额
 Tiền dầu cho xe ô tô (VNĐ</t>
  </si>
  <si>
    <t>Loại dầu</t>
  </si>
  <si>
    <t>A95</t>
  </si>
  <si>
    <t xml:space="preserve">Gas for canteen餐厅燃气Gas </t>
  </si>
  <si>
    <t>Oil consumption
 for car
 (L) 汽油使用量
 Lượng Gas sử dụng (L)</t>
  </si>
  <si>
    <t>Cost of
 oil for car
 (USD) 金额
 Tiền Gas cho xe ô tô (VNĐ</t>
  </si>
  <si>
    <t>Liquefied Petroleum Gases (LPG)</t>
  </si>
  <si>
    <t>WASTE - DATA INPUT FORM</t>
  </si>
  <si>
    <t>Waste</t>
  </si>
  <si>
    <t>Waste treatment</t>
  </si>
  <si>
    <t>SCOPE 3 - Category 5</t>
  </si>
  <si>
    <t xml:space="preserve">Total solid waste Quantity (kg)
Lượng chất thải rắn (Kg)
</t>
  </si>
  <si>
    <t>Tổng lượng chất thải tái chế Recycle (Kg)</t>
  </si>
  <si>
    <t xml:space="preserve">Hazardous waste Quantity (Kg)
Số lượng chất thải nguy hại 危险垃圾类
(Kg)
</t>
  </si>
  <si>
    <t>Hazardous waste collection bill
Hóa đơn thu gom xử lý chất thải nguy hại  处理费用
chi phí xử lý
(VND)</t>
  </si>
  <si>
    <t>Landfill  (kg)
Chôn lấp (Kg)
掩埋</t>
  </si>
  <si>
    <t>Lượng khí phát thải (Kg CO2)</t>
  </si>
  <si>
    <t>Incinerated Thiêu đốt 焚烧 (Kg)</t>
  </si>
  <si>
    <t>Composted Phân hủy hữu cơ (kg)</t>
  </si>
  <si>
    <t>Recycled - tái chế (kg)</t>
  </si>
  <si>
    <t>Loại Khác Others (Kg)</t>
  </si>
  <si>
    <t>Tổng lượng khí  phát thải (Kg CO2)</t>
  </si>
  <si>
    <r>
      <rPr>
        <b/>
        <sz val="11"/>
        <color rgb="FF000000"/>
        <rFont val="Calibri"/>
        <family val="2"/>
      </rPr>
      <t xml:space="preserve">Feb - </t>
    </r>
    <r>
      <rPr>
        <b/>
        <sz val="11"/>
        <color rgb="FF0066CC"/>
        <rFont val="Calibri"/>
        <family val="2"/>
      </rPr>
      <t>Tháng 2</t>
    </r>
  </si>
  <si>
    <r>
      <rPr>
        <b/>
        <sz val="11"/>
        <color rgb="FF000000"/>
        <rFont val="Calibri"/>
        <family val="2"/>
      </rPr>
      <t xml:space="preserve">Mar - </t>
    </r>
    <r>
      <rPr>
        <b/>
        <sz val="11"/>
        <color rgb="FF0066CC"/>
        <rFont val="Calibri"/>
        <family val="2"/>
      </rPr>
      <t>Tháng 3</t>
    </r>
  </si>
  <si>
    <r>
      <rPr>
        <b/>
        <sz val="11"/>
        <color rgb="FF000000"/>
        <rFont val="Calibri"/>
        <family val="2"/>
      </rPr>
      <t xml:space="preserve">Apr - </t>
    </r>
    <r>
      <rPr>
        <b/>
        <sz val="11"/>
        <color rgb="FF0066CC"/>
        <rFont val="Calibri"/>
        <family val="2"/>
      </rPr>
      <t>Tháng 4</t>
    </r>
  </si>
  <si>
    <r>
      <rPr>
        <b/>
        <sz val="11"/>
        <color rgb="FF000000"/>
        <rFont val="Calibri"/>
        <family val="2"/>
      </rPr>
      <t xml:space="preserve">May - </t>
    </r>
    <r>
      <rPr>
        <b/>
        <sz val="11"/>
        <color rgb="FF0066CC"/>
        <rFont val="Calibri"/>
        <family val="2"/>
      </rPr>
      <t>Tháng 5</t>
    </r>
  </si>
  <si>
    <r>
      <rPr>
        <b/>
        <sz val="11"/>
        <color rgb="FF000000"/>
        <rFont val="Calibri"/>
        <family val="2"/>
      </rPr>
      <t xml:space="preserve">Jun - </t>
    </r>
    <r>
      <rPr>
        <b/>
        <sz val="11"/>
        <color rgb="FF0066CC"/>
        <rFont val="Calibri"/>
        <family val="2"/>
      </rPr>
      <t>Tháng 6</t>
    </r>
  </si>
  <si>
    <r>
      <rPr>
        <b/>
        <sz val="11"/>
        <color rgb="FF000000"/>
        <rFont val="Calibri"/>
        <family val="2"/>
      </rPr>
      <t xml:space="preserve">Jul - </t>
    </r>
    <r>
      <rPr>
        <b/>
        <sz val="11"/>
        <color rgb="FF0066CC"/>
        <rFont val="Calibri"/>
        <family val="2"/>
      </rPr>
      <t>Tháng 7</t>
    </r>
  </si>
  <si>
    <r>
      <rPr>
        <b/>
        <sz val="11"/>
        <color rgb="FF000000"/>
        <rFont val="Calibri"/>
        <family val="2"/>
      </rPr>
      <t>Aug -</t>
    </r>
    <r>
      <rPr>
        <b/>
        <sz val="11"/>
        <color rgb="FF0066CC"/>
        <rFont val="Calibri"/>
        <family val="2"/>
      </rPr>
      <t xml:space="preserve"> Tháng 8</t>
    </r>
  </si>
  <si>
    <r>
      <rPr>
        <b/>
        <sz val="11"/>
        <color rgb="FF000000"/>
        <rFont val="Calibri"/>
        <family val="2"/>
      </rPr>
      <t>Sep -</t>
    </r>
    <r>
      <rPr>
        <b/>
        <sz val="11"/>
        <color rgb="FF0066CC"/>
        <rFont val="Calibri"/>
        <family val="2"/>
      </rPr>
      <t xml:space="preserve"> Tháng 9</t>
    </r>
  </si>
  <si>
    <r>
      <rPr>
        <b/>
        <sz val="11"/>
        <color rgb="FF000000"/>
        <rFont val="Calibri"/>
        <family val="2"/>
      </rPr>
      <t xml:space="preserve">Oct - </t>
    </r>
    <r>
      <rPr>
        <b/>
        <sz val="11"/>
        <color rgb="FF0066CC"/>
        <rFont val="Calibri"/>
        <family val="2"/>
      </rPr>
      <t>Tháng 10</t>
    </r>
  </si>
  <si>
    <r>
      <rPr>
        <b/>
        <sz val="11"/>
        <color rgb="FF000000"/>
        <rFont val="Calibri"/>
        <family val="2"/>
      </rPr>
      <t>Nov -</t>
    </r>
    <r>
      <rPr>
        <b/>
        <sz val="11"/>
        <color rgb="FF0066CC"/>
        <rFont val="Calibri"/>
        <family val="2"/>
      </rPr>
      <t xml:space="preserve"> Tháng 11</t>
    </r>
  </si>
  <si>
    <r>
      <rPr>
        <b/>
        <sz val="11"/>
        <color rgb="FF000000"/>
        <rFont val="Calibri"/>
        <family val="2"/>
      </rPr>
      <t>Dec -</t>
    </r>
    <r>
      <rPr>
        <b/>
        <sz val="11"/>
        <color rgb="FF0066CC"/>
        <rFont val="Calibri"/>
        <family val="2"/>
      </rPr>
      <t xml:space="preserve"> Tháng 12</t>
    </r>
  </si>
  <si>
    <r>
      <rPr>
        <b/>
        <sz val="11"/>
        <color rgb="FF000000"/>
        <rFont val="Calibri"/>
        <family val="2"/>
      </rPr>
      <t xml:space="preserve">Total - </t>
    </r>
    <r>
      <rPr>
        <b/>
        <sz val="11"/>
        <color rgb="FF0066CC"/>
        <rFont val="Calibri"/>
        <family val="2"/>
      </rPr>
      <t>Tổng</t>
    </r>
  </si>
  <si>
    <t>ID50+ID52+ID54+ID56+ID123</t>
  </si>
  <si>
    <t>Loai</t>
  </si>
  <si>
    <t>Hệ số phát thải Emission factor (Kg CO2/Kg)</t>
  </si>
  <si>
    <t>Others - loại khác (kg)</t>
  </si>
  <si>
    <t>Gỗ</t>
  </si>
  <si>
    <t>Nhựa PET</t>
  </si>
  <si>
    <t xml:space="preserve">Household residual waste - rác sinh hoạt </t>
  </si>
  <si>
    <t>Commercial and industrial waste - Rác Thương mại và công nghiệp</t>
  </si>
  <si>
    <t>Rác thải kim loại</t>
  </si>
  <si>
    <t>Clothing - Vải</t>
  </si>
  <si>
    <t>Glass - kính</t>
  </si>
  <si>
    <t>Concrete - Bê tông</t>
  </si>
  <si>
    <t>Dầu - Phát điện</t>
  </si>
  <si>
    <t>Nhiệt Trị</t>
  </si>
  <si>
    <t>Than</t>
  </si>
  <si>
    <t>Sinh khối</t>
  </si>
  <si>
    <t>Xăng cho Oto</t>
  </si>
  <si>
    <t>GAS</t>
  </si>
  <si>
    <t>Dầu DO -Lít</t>
  </si>
  <si>
    <t>Than cốc</t>
  </si>
  <si>
    <t>Củi</t>
  </si>
  <si>
    <t>A92</t>
  </si>
  <si>
    <t>Liquefied Natural Gas (LNG)</t>
  </si>
  <si>
    <t>Than antraxit cám loại 1,2</t>
  </si>
  <si>
    <t>E5</t>
  </si>
  <si>
    <t>CNG</t>
  </si>
  <si>
    <t>Than antraxit cám loại 5,6</t>
  </si>
  <si>
    <t>Than sub-bitum</t>
  </si>
  <si>
    <t>Than Cục 5A</t>
  </si>
  <si>
    <t>Máy lạnh</t>
  </si>
  <si>
    <t>Loại Rác thải</t>
  </si>
  <si>
    <t xml:space="preserve">Refrigerant Used (Compulsory) 
Loại gas   (bắt buộc phải có)            
</t>
  </si>
  <si>
    <t>hệ số  phát thải</t>
  </si>
  <si>
    <t>Batteries -Pin</t>
  </si>
  <si>
    <t>Carbon dioxide</t>
  </si>
  <si>
    <t>Methane</t>
  </si>
  <si>
    <t>Nitrous oxide</t>
  </si>
  <si>
    <t>HFC-23</t>
  </si>
  <si>
    <t>HFC-32</t>
  </si>
  <si>
    <t>HFC-41</t>
  </si>
  <si>
    <t>HFC-125</t>
  </si>
  <si>
    <t>Organic: food and drink waste -Rác thải hữu cơ thực phẩm và đồ uống</t>
  </si>
  <si>
    <t>HFC-134</t>
  </si>
  <si>
    <t>Giấy</t>
  </si>
  <si>
    <t>HFC-134a</t>
  </si>
  <si>
    <t>HFC-143</t>
  </si>
  <si>
    <t>Nhựa PVC</t>
  </si>
  <si>
    <t>HFC-143a</t>
  </si>
  <si>
    <t>Nhựa PS</t>
  </si>
  <si>
    <t>HFC-152a</t>
  </si>
  <si>
    <t>HFC-227ea</t>
  </si>
  <si>
    <t>Cao Su</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</si>
  <si>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</si>
  <si>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</si>
  <si>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</si>
  <si>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</si>
  <si>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</si>
  <si>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</si>
  <si>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</si>
  <si>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</si>
  <si>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</si>
  <si>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</si>
  <si>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Sulphur hexafluoride (SF6)</t>
  </si>
  <si>
    <t>HFC-152</t>
  </si>
  <si>
    <t>HFC-161</t>
  </si>
  <si>
    <t>HFC-236cb</t>
  </si>
  <si>
    <t>HFC-236ea</t>
  </si>
  <si>
    <t>HFC-245ca</t>
  </si>
  <si>
    <t>HFC-365mfc</t>
  </si>
  <si>
    <t>R404A</t>
  </si>
  <si>
    <t>R407A</t>
  </si>
  <si>
    <t>R407C</t>
  </si>
  <si>
    <t>Vui lòng không thay đổi template khi nhập liệu, xin cảm ơn.</t>
  </si>
  <si>
    <r>
      <t xml:space="preserve">Machine name </t>
    </r>
    <r>
      <rPr>
        <sz val="12"/>
        <color indexed="10"/>
        <rFont val="Times New Roman"/>
        <family val="1"/>
      </rPr>
      <t>(Compulsory)</t>
    </r>
    <r>
      <rPr>
        <sz val="12"/>
        <rFont val="Times New Roman"/>
        <family val="1"/>
      </rPr>
      <t xml:space="preserve">
</t>
    </r>
    <r>
      <rPr>
        <sz val="12"/>
        <color indexed="49"/>
        <rFont val="Times New Roman"/>
        <family val="1"/>
      </rPr>
      <t xml:space="preserve">Tên Thiết bị máy móc  (bắt buộc phải có)  </t>
    </r>
    <r>
      <rPr>
        <sz val="12"/>
        <rFont val="Times New Roman"/>
        <family val="1"/>
      </rPr>
      <t xml:space="preserve">       
</t>
    </r>
  </si>
  <si>
    <r>
      <t xml:space="preserve"> 
</t>
    </r>
    <r>
      <rPr>
        <sz val="12"/>
        <color indexed="30"/>
        <rFont val="Times New Roman"/>
        <family val="1"/>
      </rPr>
      <t>Model</t>
    </r>
  </si>
  <si>
    <r>
      <t xml:space="preserve">Motor capacity </t>
    </r>
    <r>
      <rPr>
        <sz val="12"/>
        <color indexed="10"/>
        <rFont val="Times New Roman"/>
        <family val="1"/>
      </rPr>
      <t xml:space="preserve">(Compulsory) </t>
    </r>
    <r>
      <rPr>
        <sz val="12"/>
        <rFont val="Times New Roman"/>
        <family val="1"/>
      </rPr>
      <t xml:space="preserve">
</t>
    </r>
    <r>
      <rPr>
        <sz val="12"/>
        <color indexed="49"/>
        <rFont val="Times New Roman"/>
        <family val="1"/>
      </rPr>
      <t xml:space="preserve">Công suất (kW) </t>
    </r>
    <r>
      <rPr>
        <sz val="12"/>
        <color indexed="10"/>
        <rFont val="Times New Roman"/>
        <family val="1"/>
      </rPr>
      <t xml:space="preserve"> (bắt buộc phải có)            
</t>
    </r>
  </si>
  <si>
    <r>
      <t xml:space="preserve">Quantity </t>
    </r>
    <r>
      <rPr>
        <sz val="12"/>
        <color indexed="10"/>
        <rFont val="Times New Roman"/>
        <family val="1"/>
      </rPr>
      <t>(Compulsory)</t>
    </r>
    <r>
      <rPr>
        <sz val="12"/>
        <rFont val="Times New Roman"/>
        <family val="1"/>
      </rPr>
      <t xml:space="preserve">
</t>
    </r>
    <r>
      <rPr>
        <sz val="12"/>
        <color indexed="49"/>
        <rFont val="Times New Roman"/>
        <family val="1"/>
      </rPr>
      <t>Số lượng</t>
    </r>
    <r>
      <rPr>
        <sz val="12"/>
        <rFont val="Times New Roman"/>
        <family val="1"/>
      </rPr>
      <t xml:space="preserve">    </t>
    </r>
    <r>
      <rPr>
        <sz val="12"/>
        <color indexed="10"/>
        <rFont val="Times New Roman"/>
        <family val="1"/>
      </rPr>
      <t>(bắt buộc phải có)</t>
    </r>
    <r>
      <rPr>
        <sz val="12"/>
        <rFont val="Times New Roman"/>
        <family val="1"/>
      </rPr>
      <t xml:space="preserve">         
</t>
    </r>
  </si>
  <si>
    <r>
      <t xml:space="preserve">Refrigerant Used </t>
    </r>
    <r>
      <rPr>
        <sz val="12"/>
        <color indexed="10"/>
        <rFont val="Times New Roman"/>
        <family val="1"/>
      </rPr>
      <t xml:space="preserve">(Compulsory) </t>
    </r>
    <r>
      <rPr>
        <sz val="12"/>
        <rFont val="Times New Roman"/>
        <family val="1"/>
      </rPr>
      <t xml:space="preserve">
</t>
    </r>
    <r>
      <rPr>
        <sz val="12"/>
        <color indexed="49"/>
        <rFont val="Times New Roman"/>
        <family val="1"/>
      </rPr>
      <t xml:space="preserve">Loại gas  </t>
    </r>
    <r>
      <rPr>
        <sz val="12"/>
        <color indexed="10"/>
        <rFont val="Times New Roman"/>
        <family val="1"/>
      </rPr>
      <t xml:space="preserve"> (bắt buộc phải có)            
</t>
    </r>
  </si>
  <si>
    <t>Hệ số  phát thải</t>
  </si>
  <si>
    <t>Lượng gas ban đầu</t>
  </si>
  <si>
    <t>Tàn suất nạp gas thêm</t>
  </si>
  <si>
    <t>Tổng lượng gas nạp thêm</t>
  </si>
  <si>
    <t>kg CO2e</t>
  </si>
  <si>
    <r>
      <t xml:space="preserve">Operation time /day (hours/day) </t>
    </r>
    <r>
      <rPr>
        <sz val="12"/>
        <color indexed="10"/>
        <rFont val="Times New Roman"/>
        <family val="1"/>
      </rPr>
      <t>(Compulsory)</t>
    </r>
    <r>
      <rPr>
        <sz val="12"/>
        <color indexed="8"/>
        <rFont val="Times New Roman"/>
        <family val="1"/>
      </rPr>
      <t xml:space="preserve">
</t>
    </r>
    <r>
      <rPr>
        <sz val="12"/>
        <color indexed="49"/>
        <rFont val="Times New Roman"/>
        <family val="1"/>
      </rPr>
      <t>Thời gian vận hành/ngày (giờ/ngày</t>
    </r>
    <r>
      <rPr>
        <sz val="12"/>
        <color indexed="8"/>
        <rFont val="Times New Roman"/>
        <family val="1"/>
      </rPr>
      <t xml:space="preserve">) </t>
    </r>
    <r>
      <rPr>
        <sz val="12"/>
        <color indexed="10"/>
        <rFont val="Times New Roman"/>
        <family val="1"/>
      </rPr>
      <t>(bắt buộc phải có)</t>
    </r>
    <r>
      <rPr>
        <sz val="12"/>
        <color indexed="8"/>
        <rFont val="Times New Roman"/>
        <family val="1"/>
      </rPr>
      <t xml:space="preserve">         </t>
    </r>
  </si>
  <si>
    <t>Vui lòng nhập liệu bắt đầu tại dòng này. Xin cảm ơn</t>
  </si>
  <si>
    <t>Tên đèn</t>
  </si>
  <si>
    <t>Số lượng (Bộ)</t>
  </si>
  <si>
    <t>Công suất (W)</t>
  </si>
  <si>
    <t xml:space="preserve">Thời gian sử dụng (giờ/ngày)         
</t>
  </si>
  <si>
    <t>Khu vực sử dụng</t>
  </si>
  <si>
    <t xml:space="preserve">Tên Lò </t>
  </si>
  <si>
    <t>Model</t>
  </si>
  <si>
    <t>Số lượng</t>
  </si>
  <si>
    <t>Công suất thiết kế(tấn/h)</t>
  </si>
  <si>
    <t>Loại nhiên liệu(dầu)</t>
  </si>
  <si>
    <t>Thời gian hoạt động(giờ/năm)</t>
  </si>
  <si>
    <t>Tiêu thụ nhiên liệu trung bình trong ngày</t>
  </si>
  <si>
    <r>
      <rPr>
        <sz val="13"/>
        <color rgb="FF000000"/>
        <rFont val="Times New Roman"/>
        <family val="1"/>
      </rPr>
      <t>Nhiệt độ khói thải trung bình (</t>
    </r>
    <r>
      <rPr>
        <vertAlign val="superscript"/>
        <sz val="13"/>
        <color rgb="FF000000"/>
        <rFont val="Times New Roman"/>
        <family val="1"/>
      </rPr>
      <t>o</t>
    </r>
    <r>
      <rPr>
        <sz val="13"/>
        <color rgb="FF000000"/>
        <rFont val="Times New Roman"/>
        <family val="1"/>
      </rPr>
      <t>C)</t>
    </r>
  </si>
  <si>
    <r>
      <rPr>
        <sz val="13"/>
        <color rgb="FF000000"/>
        <rFont val="Times New Roman"/>
        <family val="1"/>
      </rPr>
      <t>Nhiệt độ thân lò(</t>
    </r>
    <r>
      <rPr>
        <vertAlign val="superscript"/>
        <sz val="13"/>
        <color rgb="FF000000"/>
        <rFont val="Times New Roman"/>
        <family val="1"/>
      </rPr>
      <t>o</t>
    </r>
    <r>
      <rPr>
        <sz val="13"/>
        <color rgb="FF000000"/>
        <rFont val="Times New Roman"/>
        <family val="1"/>
      </rPr>
      <t>C)</t>
    </r>
  </si>
  <si>
    <t>Hiệu suất lò (%)</t>
  </si>
  <si>
    <t>Nhà chế tạo</t>
  </si>
  <si>
    <t>Năm chế tạo</t>
  </si>
  <si>
    <t>Tên máy</t>
  </si>
  <si>
    <r>
      <rPr>
        <sz val="11"/>
        <color rgb="FF000000"/>
        <rFont val="Calibri"/>
        <family val="2"/>
      </rPr>
      <t xml:space="preserve">Capacity  </t>
    </r>
    <r>
      <rPr>
        <sz val="11"/>
        <color rgb="FF0066CC"/>
        <rFont val="Calibri"/>
        <family val="2"/>
      </rPr>
      <t>Công suất  (kW)</t>
    </r>
  </si>
  <si>
    <t>Áp suất cài đặt (Bar)</t>
  </si>
  <si>
    <t>Hiệu suất (m3/p)</t>
  </si>
  <si>
    <t>Hiệu suất (kWh/m3)</t>
  </si>
  <si>
    <t>Số giờ hoạt động/ngày</t>
  </si>
  <si>
    <t>Đồng hồ điên</t>
  </si>
  <si>
    <t xml:space="preserve">Đồng hồ lưu lượng khí nén </t>
  </si>
  <si>
    <r>
      <rPr>
        <sz val="12"/>
        <color theme="1"/>
        <rFont val="Times New Roman"/>
        <family val="1"/>
      </rPr>
      <t xml:space="preserve">Machine name </t>
    </r>
    <r>
      <rPr>
        <sz val="12"/>
        <color rgb="FFDD0806"/>
        <rFont val="Times New Roman"/>
        <family val="1"/>
      </rPr>
      <t>(Compulsory)</t>
    </r>
    <r>
      <rPr>
        <sz val="12"/>
        <color theme="1"/>
        <rFont val="Times New Roman"/>
        <family val="1"/>
      </rPr>
      <t xml:space="preserve">
</t>
    </r>
    <r>
      <rPr>
        <sz val="12"/>
        <color rgb="FF33CCCC"/>
        <rFont val="Times New Roman"/>
        <family val="1"/>
      </rPr>
      <t xml:space="preserve">Tên Thiết bị máy móc  (bắt buộc phải có)  </t>
    </r>
    <r>
      <rPr>
        <sz val="12"/>
        <color theme="1"/>
        <rFont val="Times New Roman"/>
        <family val="1"/>
      </rPr>
      <t xml:space="preserve">       
</t>
    </r>
  </si>
  <si>
    <r>
      <rPr>
        <sz val="12"/>
        <color theme="1"/>
        <rFont val="Times New Roman"/>
        <family val="1"/>
      </rPr>
      <t xml:space="preserve"> 
</t>
    </r>
    <r>
      <rPr>
        <sz val="12"/>
        <color rgb="FF0066CC"/>
        <rFont val="Times New Roman"/>
        <family val="1"/>
      </rPr>
      <t>Model</t>
    </r>
  </si>
  <si>
    <r>
      <rPr>
        <sz val="12"/>
        <color theme="1"/>
        <rFont val="Times New Roman"/>
        <family val="1"/>
      </rPr>
      <t xml:space="preserve">Motor capacity </t>
    </r>
    <r>
      <rPr>
        <sz val="12"/>
        <color rgb="FFDD0806"/>
        <rFont val="Times New Roman"/>
        <family val="1"/>
      </rPr>
      <t xml:space="preserve">(Compulsory) </t>
    </r>
    <r>
      <rPr>
        <sz val="12"/>
        <color theme="1"/>
        <rFont val="Times New Roman"/>
        <family val="1"/>
      </rPr>
      <t xml:space="preserve">
</t>
    </r>
    <r>
      <rPr>
        <sz val="12"/>
        <color rgb="FF33CCCC"/>
        <rFont val="Times New Roman"/>
        <family val="1"/>
      </rPr>
      <t xml:space="preserve">Công suất (kW) </t>
    </r>
    <r>
      <rPr>
        <sz val="12"/>
        <color rgb="FFDD0806"/>
        <rFont val="Times New Roman"/>
        <family val="1"/>
      </rPr>
      <t xml:space="preserve"> (bắt buộc phải có)            
</t>
    </r>
  </si>
  <si>
    <r>
      <rPr>
        <sz val="12"/>
        <color theme="1"/>
        <rFont val="Times New Roman"/>
        <family val="1"/>
      </rPr>
      <t xml:space="preserve">Speed (rpm)
</t>
    </r>
    <r>
      <rPr>
        <sz val="12"/>
        <color rgb="FF33CCCC"/>
        <rFont val="Times New Roman"/>
        <family val="1"/>
      </rPr>
      <t>Tốc độ (vòng/phút)</t>
    </r>
    <r>
      <rPr>
        <sz val="12"/>
        <color theme="1"/>
        <rFont val="Times New Roman"/>
        <family val="1"/>
      </rPr>
      <t xml:space="preserve"> 
</t>
    </r>
  </si>
  <si>
    <r>
      <rPr>
        <sz val="12"/>
        <color theme="1"/>
        <rFont val="Times New Roman"/>
        <family val="1"/>
      </rPr>
      <t xml:space="preserve">Quantity </t>
    </r>
    <r>
      <rPr>
        <sz val="12"/>
        <color rgb="FFDD0806"/>
        <rFont val="Times New Roman"/>
        <family val="1"/>
      </rPr>
      <t>(Compulsory)</t>
    </r>
    <r>
      <rPr>
        <sz val="12"/>
        <color theme="1"/>
        <rFont val="Times New Roman"/>
        <family val="1"/>
      </rPr>
      <t xml:space="preserve">
</t>
    </r>
    <r>
      <rPr>
        <sz val="12"/>
        <color rgb="FF33CCCC"/>
        <rFont val="Times New Roman"/>
        <family val="1"/>
      </rPr>
      <t>Số lượng</t>
    </r>
    <r>
      <rPr>
        <sz val="12"/>
        <color theme="1"/>
        <rFont val="Times New Roman"/>
        <family val="1"/>
      </rPr>
      <t xml:space="preserve">    </t>
    </r>
    <r>
      <rPr>
        <sz val="12"/>
        <color rgb="FFDD0806"/>
        <rFont val="Times New Roman"/>
        <family val="1"/>
      </rPr>
      <t>(bắt buộc phải có)</t>
    </r>
    <r>
      <rPr>
        <sz val="12"/>
        <color theme="1"/>
        <rFont val="Times New Roman"/>
        <family val="1"/>
      </rPr>
      <t xml:space="preserve">         
</t>
    </r>
  </si>
  <si>
    <t>Cột áp thiết kế (m)</t>
  </si>
  <si>
    <t>Lưu lượng thiết kế (m3/h)</t>
  </si>
  <si>
    <r>
      <rPr>
        <sz val="12"/>
        <color theme="1"/>
        <rFont val="Times New Roman"/>
        <family val="1"/>
      </rPr>
      <t xml:space="preserve">Motor Efficiency of design (%)_
</t>
    </r>
    <r>
      <rPr>
        <sz val="12"/>
        <color rgb="FF33CCCC"/>
        <rFont val="Times New Roman"/>
        <family val="1"/>
      </rPr>
      <t>Hiệu suất thiết kế của động cơ (%)</t>
    </r>
  </si>
  <si>
    <r>
      <rPr>
        <sz val="12"/>
        <color rgb="FF000000"/>
        <rFont val="Times New Roman"/>
        <family val="1"/>
      </rPr>
      <t xml:space="preserve">Operation time /day (hours/day) </t>
    </r>
    <r>
      <rPr>
        <sz val="12"/>
        <color rgb="FFDD0806"/>
        <rFont val="Times New Roman"/>
        <family val="1"/>
      </rPr>
      <t>(Compulsory)</t>
    </r>
    <r>
      <rPr>
        <sz val="12"/>
        <color rgb="FF000000"/>
        <rFont val="Times New Roman"/>
        <family val="1"/>
      </rPr>
      <t xml:space="preserve">
</t>
    </r>
    <r>
      <rPr>
        <sz val="12"/>
        <color rgb="FF33CCCC"/>
        <rFont val="Times New Roman"/>
        <family val="1"/>
      </rPr>
      <t>Thời gian vận hành/ngày (giờ/ngày</t>
    </r>
    <r>
      <rPr>
        <sz val="12"/>
        <color rgb="FF000000"/>
        <rFont val="Times New Roman"/>
        <family val="1"/>
      </rPr>
      <t xml:space="preserve">) </t>
    </r>
    <r>
      <rPr>
        <sz val="12"/>
        <color rgb="FFDD0806"/>
        <rFont val="Times New Roman"/>
        <family val="1"/>
      </rPr>
      <t>(bắt buộc phải có)</t>
    </r>
    <r>
      <rPr>
        <sz val="12"/>
        <color rgb="FF00000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</si>
</sst>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 #,##0_ ;_ * \-#,##0_ ;_ * &quot;-&quot;??_ ;_ @_ "/>
    <numFmt numFmtId="165" formatCode="_(* #,##0_);_(* \(#,##0\);_(* &quot;-&quot;??_);_(@_)"/>
    <numFmt numFmtId="166" formatCode="0.0"/>
    <numFmt numFmtId="167" formatCode="_ * #,##0.00_ ;_ * \-#,##0.00_ ;_ * &quot;-&quot;??_ ;_ @_ "/>
    <numFmt numFmtId="168" formatCode="_(* #,##0.000_);_(* \(#,##0.000\);_(* &quot;-&quot;??_);_(@_)"/>
    <numFmt numFmtId="169" formatCode="_(* #,##0.0_);_(* \(#,##0.0\);_(* &quot;-&quot;??_);_(@_)"/>
    <numFmt numFmtId="170" formatCode="_(* #,##0.00_);_(* \(#,##0.00\);_(* &quot;-&quot;_);_(@_)"/>
    <numFmt numFmtId="171" formatCode="_ * #,##0.0_ ;_ * \-#,##0.0_ ;_ * &quot;-&quot;??_ ;_ @_ "/>
    <numFmt numFmtId="172" formatCode="_(* #,##0.0000_);_(* \(#,##0.0000\);_(* &quot;-&quot;??_);_(@_)"/>
  </numFmts>
  <fonts count="74">
    <font>
      <sz val="11"/>
      <color theme="1"/>
      <name val="Calibri"/>
      <family val="2"/>
      <scheme val="minor"/>
    </font>
    <font>
      <b/>
      <sz val="11"/>
      <color theme="0"/>
      <name val="Calibri"/>
      <family val="2"/>
      <scheme val="minor"/>
    </font>
    <font>
      <b/>
      <sz val="11"/>
      <color theme="1"/>
      <name val="Calibri"/>
      <family val="2"/>
      <scheme val="minor"/>
    </font>
    <font>
      <b/>
      <sz val="12"/>
      <color rgb="FF000000"/>
      <name val="&quot;Times New Roman&quot;"/>
    </font>
    <font>
      <sz val="11"/>
      <color rgb="FF000000"/>
      <name val="&quot;Times New Roman&quot;"/>
    </font>
    <font>
      <sz val="11"/>
      <color rgb="FF000000"/>
      <name val="Calibri"/>
      <scheme val="minor"/>
    </font>
    <font>
      <b/>
      <sz val="11"/>
      <color rgb="FFFF0000"/>
      <name val="Calibri"/>
      <family val="2"/>
    </font>
    <font>
      <i/>
      <sz val="11"/>
      <color rgb="FF00B050"/>
      <name val="Calibri"/>
      <family val="2"/>
      <scheme val="minor"/>
    </font>
    <font>
      <sz val="12"/>
      <name val="Times New Roman"/>
      <family val="1"/>
    </font>
    <font>
      <sz val="12"/>
      <color indexed="8"/>
      <name val="Times New Roman"/>
      <family val="1"/>
    </font>
    <font>
      <sz val="13"/>
      <color rgb="FF000000"/>
      <name val="Times New Roman"/>
      <family val="1"/>
    </font>
    <font>
      <sz val="11"/>
      <color rgb="FF000000"/>
      <name val="Calibri"/>
      <family val="2"/>
    </font>
    <font>
      <sz val="12"/>
      <color theme="1"/>
      <name val="Times New Roman"/>
      <family val="1"/>
    </font>
    <font>
      <sz val="12"/>
      <color rgb="FF000000"/>
      <name val="Times New Roman"/>
      <family val="1"/>
    </font>
    <font>
      <sz val="11"/>
      <color theme="1"/>
      <name val="Calibri"/>
      <family val="2"/>
      <scheme val="minor"/>
    </font>
    <font>
      <sz val="11"/>
      <color rgb="FFFF0000"/>
      <name val="Calibri"/>
      <family val="2"/>
      <scheme val="minor"/>
    </font>
    <font>
      <b/>
      <sz val="26"/>
      <color theme="3"/>
      <name val="Calibri Light"/>
      <family val="2"/>
      <scheme val="major"/>
    </font>
    <font>
      <sz val="12"/>
      <color rgb="FF000000"/>
      <name val="&quot;Times New Roman&quot;"/>
    </font>
    <font>
      <b/>
      <sz val="11"/>
      <color rgb="FF000000"/>
      <name val="Calibri"/>
      <family val="2"/>
      <scheme val="minor"/>
    </font>
    <font>
      <b/>
      <sz val="11"/>
      <color rgb="FF00B050"/>
      <name val="Calibri"/>
      <family val="2"/>
      <scheme val="minor"/>
    </font>
    <font>
      <b/>
      <sz val="11"/>
      <color rgb="FF000000"/>
      <name val="Calibri"/>
      <family val="2"/>
    </font>
    <font>
      <b/>
      <sz val="12"/>
      <color theme="1"/>
      <name val="Arial"/>
      <family val="2"/>
    </font>
    <font>
      <b/>
      <sz val="11"/>
      <color theme="1"/>
      <name val="Arial"/>
      <family val="2"/>
    </font>
    <font>
      <b/>
      <sz val="11"/>
      <name val="Calibri"/>
      <family val="2"/>
    </font>
    <font>
      <b/>
      <sz val="11"/>
      <color rgb="FF000000"/>
      <name val="&quot;Times New Roman&quot;"/>
    </font>
    <font>
      <b/>
      <sz val="12"/>
      <color rgb="FF000000"/>
      <name val="Times New Roman"/>
      <family val="1"/>
    </font>
    <font>
      <b/>
      <sz val="12"/>
      <color theme="8" tint="-0.499984740745262"/>
      <name val="&quot;Times New Roman&quot;"/>
    </font>
    <font>
      <sz val="11"/>
      <color theme="8" tint="-0.499984740745262"/>
      <name val="Calibri"/>
      <family val="2"/>
    </font>
    <font>
      <b/>
      <sz val="9"/>
      <color theme="8" tint="-0.499984740745262"/>
      <name val="&quot;Times New Roman&quot;"/>
    </font>
    <font>
      <b/>
      <sz val="10"/>
      <color theme="8" tint="-0.499984740745262"/>
      <name val="Calibri"/>
      <family val="2"/>
    </font>
    <font>
      <b/>
      <sz val="9"/>
      <color rgb="FFFF0000"/>
      <name val="&quot;Times New Roman&quot;"/>
    </font>
    <font>
      <b/>
      <sz val="10"/>
      <color theme="8" tint="-0.499984740745262"/>
      <name val="&quot;Times New Roman&quot;"/>
    </font>
    <font>
      <sz val="10"/>
      <color rgb="FF000000"/>
      <name val="Times New Roman"/>
      <family val="1"/>
    </font>
    <font>
      <b/>
      <sz val="11"/>
      <color rgb="FFDD0806"/>
      <name val="&quot;Times New Roman&quot;"/>
    </font>
    <font>
      <sz val="11"/>
      <color rgb="FFDD0806"/>
      <name val="&quot;Times New Roman&quot;"/>
    </font>
    <font>
      <b/>
      <sz val="11"/>
      <color rgb="FF0000D4"/>
      <name val="&quot;Times New Roman&quot;"/>
    </font>
    <font>
      <b/>
      <sz val="16"/>
      <color rgb="FF000000"/>
      <name val="Calibri"/>
      <family val="2"/>
      <scheme val="minor"/>
    </font>
    <font>
      <sz val="16"/>
      <color rgb="FF000000"/>
      <name val="Calibri"/>
      <family val="2"/>
      <scheme val="minor"/>
    </font>
    <font>
      <b/>
      <sz val="11"/>
      <color theme="8" tint="-0.499984740745262"/>
      <name val="Calibri"/>
      <family val="2"/>
    </font>
    <font>
      <sz val="11"/>
      <color rgb="FF000000"/>
      <name val="Calibri"/>
      <family val="2"/>
      <scheme val="minor"/>
    </font>
    <font>
      <sz val="10"/>
      <color theme="1"/>
      <name val="Times New Roman"/>
      <family val="1"/>
    </font>
    <font>
      <b/>
      <sz val="10"/>
      <color rgb="FFFF0000"/>
      <name val="Times New Roman"/>
      <family val="1"/>
    </font>
    <font>
      <sz val="10"/>
      <name val="Arial"/>
      <family val="2"/>
    </font>
    <font>
      <b/>
      <sz val="10"/>
      <color theme="1"/>
      <name val="Times New Roman"/>
      <family val="1"/>
    </font>
    <font>
      <b/>
      <sz val="11"/>
      <color rgb="FFFF0000"/>
      <name val="Calibri"/>
      <family val="2"/>
      <scheme val="minor"/>
    </font>
    <font>
      <b/>
      <sz val="12"/>
      <color theme="8" tint="-0.499984740745262"/>
      <name val="Times New Roman"/>
      <family val="1"/>
    </font>
    <font>
      <sz val="11"/>
      <name val="Calibri"/>
      <family val="2"/>
    </font>
    <font>
      <sz val="10"/>
      <color theme="1"/>
      <name val="Calibri"/>
      <family val="2"/>
      <scheme val="minor"/>
    </font>
    <font>
      <b/>
      <sz val="14"/>
      <color rgb="FFFF0000"/>
      <name val="Calibri"/>
      <family val="2"/>
      <scheme val="minor"/>
    </font>
    <font>
      <b/>
      <sz val="14"/>
      <color rgb="FFFF0000"/>
      <name val="Calibri"/>
      <family val="2"/>
    </font>
    <font>
      <b/>
      <sz val="14"/>
      <color rgb="FFFF0000"/>
      <name val=".VnBodoniH"/>
      <family val="2"/>
    </font>
    <font>
      <b/>
      <sz val="14"/>
      <color rgb="FFFF0000"/>
      <name val="&quot;Times New Roman&quot;"/>
    </font>
    <font>
      <b/>
      <sz val="14"/>
      <color rgb="FFFF0000"/>
      <name val="Times New Roman"/>
      <family val="1"/>
    </font>
    <font>
      <b/>
      <sz val="12"/>
      <color rgb="FFFF0000"/>
      <name val="&quot;Times New Roman&quot;"/>
    </font>
    <font>
      <b/>
      <sz val="12"/>
      <color rgb="FFFF0000"/>
      <name val="Times New Roman"/>
      <family val="1"/>
    </font>
    <font>
      <b/>
      <sz val="11"/>
      <color rgb="FFFF0000"/>
      <name val="&quot;Times New Roman&quot;"/>
    </font>
    <font>
      <i/>
      <sz val="11"/>
      <color theme="5" tint="-0.249977111117893"/>
      <name val="Calibri"/>
      <family val="2"/>
    </font>
    <font>
      <i/>
      <sz val="12"/>
      <color theme="5" tint="-0.249977111117893"/>
      <name val="&quot;Times New Roman&quot;"/>
    </font>
    <font>
      <i/>
      <sz val="12"/>
      <color theme="5" tint="-0.249977111117893"/>
      <name val="Calibri"/>
      <family val="2"/>
      <scheme val="minor"/>
    </font>
    <font>
      <i/>
      <sz val="12"/>
      <color theme="5" tint="-0.249977111117893"/>
      <name val="Calibri"/>
      <family val="2"/>
    </font>
    <font>
      <i/>
      <sz val="12"/>
      <color theme="5" tint="-0.249977111117893"/>
      <name val="Times New Roman"/>
      <family val="1"/>
    </font>
    <font>
      <sz val="11"/>
      <color theme="0"/>
      <name val="Calibri"/>
      <family val="2"/>
    </font>
    <font>
      <b/>
      <sz val="11"/>
      <color rgb="FF0066CC"/>
      <name val="Calibri"/>
      <family val="2"/>
    </font>
    <font>
      <sz val="12"/>
      <color indexed="10"/>
      <name val="Times New Roman"/>
      <family val="1"/>
    </font>
    <font>
      <sz val="12"/>
      <color indexed="49"/>
      <name val="Times New Roman"/>
      <family val="1"/>
    </font>
    <font>
      <sz val="12"/>
      <color indexed="30"/>
      <name val="Times New Roman"/>
      <family val="1"/>
    </font>
    <font>
      <vertAlign val="superscript"/>
      <sz val="13"/>
      <color rgb="FF000000"/>
      <name val="Times New Roman"/>
      <family val="1"/>
    </font>
    <font>
      <sz val="11"/>
      <color rgb="FF0066CC"/>
      <name val="Calibri"/>
      <family val="2"/>
    </font>
    <font>
      <sz val="12"/>
      <color rgb="FFDD0806"/>
      <name val="Times New Roman"/>
      <family val="1"/>
    </font>
    <font>
      <sz val="12"/>
      <color rgb="FF33CCCC"/>
      <name val="Times New Roman"/>
      <family val="1"/>
    </font>
    <font>
      <sz val="12"/>
      <color rgb="FF0066CC"/>
      <name val="Times New Roman"/>
      <family val="1"/>
    </font>
    <font>
      <b/>
      <sz val="9"/>
      <color indexed="81"/>
      <name val="Tahoma"/>
      <charset val="1"/>
    </font>
    <font>
      <b/>
      <sz val="9"/>
      <color indexed="81"/>
      <name val="Tahoma"/>
      <family val="2"/>
    </font>
    <font>
      <sz val="9"/>
      <color indexed="81"/>
      <name val="Tahoma"/>
      <family val="2"/>
    </font>
  </fonts>
  <fills count="18">
    <fill>
      <patternFill patternType="none"/>
    </fill>
    <fill>
      <patternFill patternType="gray125"/>
    </fill>
    <fill>
      <patternFill patternType="solid">
        <fgColor rgb="FF8DB3E2"/>
        <bgColor rgb="FF8DB3E2"/>
      </patternFill>
    </fill>
    <fill>
      <patternFill patternType="solid">
        <fgColor theme="0"/>
        <bgColor theme="0"/>
      </patternFill>
    </fill>
    <fill>
      <patternFill patternType="solid">
        <fgColor rgb="FFFFFF00"/>
        <bgColor indexed="64"/>
      </patternFill>
    </fill>
    <fill>
      <patternFill patternType="solid">
        <fgColor rgb="FF00B050"/>
        <bgColor indexed="64"/>
      </patternFill>
    </fill>
    <fill>
      <patternFill patternType="solid">
        <fgColor rgb="FF8496B0"/>
        <bgColor indexed="64"/>
      </patternFill>
    </fill>
    <fill>
      <patternFill patternType="solid">
        <fgColor rgb="FFFFFFFF"/>
        <bgColor rgb="FFFFFFFF"/>
      </patternFill>
    </fill>
    <fill>
      <patternFill patternType="solid">
        <fgColor rgb="FF9AE6CD"/>
        <bgColor indexed="64"/>
      </patternFill>
    </fill>
    <fill>
      <patternFill patternType="solid">
        <fgColor theme="8"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CCEBE8"/>
        <bgColor indexed="64"/>
      </patternFill>
    </fill>
    <fill>
      <patternFill patternType="solid">
        <fgColor theme="6" tint="0.39997558519241921"/>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92D050"/>
        <bgColor indexed="64"/>
      </patternFill>
    </fill>
  </fills>
  <borders count="113">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medium">
        <color rgb="FFCCCCCC"/>
      </left>
      <right style="medium">
        <color rgb="FF000000"/>
      </right>
      <top style="medium">
        <color rgb="FF000000"/>
      </top>
      <bottom/>
      <diagonal/>
    </border>
    <border>
      <left/>
      <right style="thin">
        <color indexed="64"/>
      </right>
      <top style="thin">
        <color indexed="64"/>
      </top>
      <bottom/>
      <diagonal/>
    </border>
    <border>
      <left style="medium">
        <color theme="4" tint="0.39991454817346722"/>
      </left>
      <right/>
      <top style="medium">
        <color theme="4" tint="0.39991454817346722"/>
      </top>
      <bottom style="medium">
        <color theme="4" tint="0.39988402966399123"/>
      </bottom>
      <diagonal/>
    </border>
    <border>
      <left/>
      <right style="medium">
        <color theme="4" tint="0.39991454817346722"/>
      </right>
      <top style="medium">
        <color theme="4" tint="0.39991454817346722"/>
      </top>
      <bottom style="medium">
        <color theme="4" tint="0.39988402966399123"/>
      </bottom>
      <diagonal/>
    </border>
    <border>
      <left/>
      <right style="thin">
        <color rgb="FFE4F4EA"/>
      </right>
      <top style="medium">
        <color theme="4" tint="0.39991454817346722"/>
      </top>
      <bottom style="medium">
        <color theme="4" tint="0.39991454817346722"/>
      </bottom>
      <diagonal/>
    </border>
    <border>
      <left style="thin">
        <color rgb="FFE4F4EA"/>
      </left>
      <right style="thin">
        <color rgb="FFE4F4EA"/>
      </right>
      <top style="medium">
        <color theme="4" tint="0.39991454817346722"/>
      </top>
      <bottom style="medium">
        <color theme="4" tint="0.39991454817346722"/>
      </bottom>
      <diagonal/>
    </border>
    <border>
      <left style="thin">
        <color rgb="FFE4F4EA"/>
      </left>
      <right style="medium">
        <color theme="4" tint="0.39991454817346722"/>
      </right>
      <top style="medium">
        <color theme="4" tint="0.39991454817346722"/>
      </top>
      <bottom style="medium">
        <color theme="4" tint="0.39991454817346722"/>
      </bottom>
      <diagonal/>
    </border>
    <border>
      <left style="medium">
        <color theme="4" tint="0.39991454817346722"/>
      </left>
      <right style="thin">
        <color rgb="FFE4F4EA"/>
      </right>
      <top style="medium">
        <color theme="4" tint="0.39991454817346722"/>
      </top>
      <bottom style="medium">
        <color theme="4" tint="0.39991454817346722"/>
      </bottom>
      <diagonal/>
    </border>
    <border>
      <left style="medium">
        <color theme="4" tint="0.39991454817346722"/>
      </left>
      <right style="medium">
        <color theme="4" tint="0.39991454817346722"/>
      </right>
      <top style="medium">
        <color theme="4" tint="0.39991454817346722"/>
      </top>
      <bottom style="medium">
        <color theme="4" tint="0.39991454817346722"/>
      </bottom>
      <diagonal/>
    </border>
    <border>
      <left style="medium">
        <color theme="4" tint="0.39991454817346722"/>
      </left>
      <right/>
      <top style="medium">
        <color theme="4" tint="0.39991454817346722"/>
      </top>
      <bottom style="medium">
        <color theme="4" tint="0.39991454817346722"/>
      </bottom>
      <diagonal/>
    </border>
    <border>
      <left style="medium">
        <color theme="4" tint="0.39991454817346722"/>
      </left>
      <right/>
      <top/>
      <bottom/>
      <diagonal/>
    </border>
    <border>
      <left/>
      <right style="medium">
        <color theme="4" tint="0.39991454817346722"/>
      </right>
      <top/>
      <bottom/>
      <diagonal/>
    </border>
    <border>
      <left/>
      <right style="thin">
        <color rgb="FFE4F4EA"/>
      </right>
      <top/>
      <bottom/>
      <diagonal/>
    </border>
    <border>
      <left style="thin">
        <color rgb="FFE4F4EA"/>
      </left>
      <right style="thin">
        <color rgb="FFE4F4EA"/>
      </right>
      <top/>
      <bottom/>
      <diagonal/>
    </border>
    <border>
      <left style="thin">
        <color rgb="FFE4F4EA"/>
      </left>
      <right style="medium">
        <color theme="4" tint="0.39994506668294322"/>
      </right>
      <top/>
      <bottom/>
      <diagonal/>
    </border>
    <border>
      <left style="medium">
        <color theme="4" tint="0.39994506668294322"/>
      </left>
      <right style="thin">
        <color rgb="FFE4F4EA"/>
      </right>
      <top/>
      <bottom/>
      <diagonal/>
    </border>
    <border>
      <left style="thin">
        <color rgb="FFE4F4EA"/>
      </left>
      <right/>
      <top/>
      <bottom/>
      <diagonal/>
    </border>
    <border>
      <left style="medium">
        <color theme="4" tint="0.39991454817346722"/>
      </left>
      <right style="thin">
        <color rgb="FFE4F4EA"/>
      </right>
      <top style="thin">
        <color rgb="FF00B050"/>
      </top>
      <bottom style="thin">
        <color rgb="FF00B050"/>
      </bottom>
      <diagonal/>
    </border>
    <border>
      <left style="thin">
        <color rgb="FFE4F4EA"/>
      </left>
      <right style="medium">
        <color theme="4" tint="0.39991454817346722"/>
      </right>
      <top style="thin">
        <color rgb="FF00B050"/>
      </top>
      <bottom style="thin">
        <color rgb="FF00B050"/>
      </bottom>
      <diagonal/>
    </border>
    <border>
      <left style="thin">
        <color rgb="FFE4F4EA"/>
      </left>
      <right style="thin">
        <color rgb="FFE4F4EA"/>
      </right>
      <top style="thin">
        <color rgb="FF00B050"/>
      </top>
      <bottom style="thin">
        <color rgb="FF00B050"/>
      </bottom>
      <diagonal/>
    </border>
    <border>
      <left style="thin">
        <color rgb="FFE4F4EA"/>
      </left>
      <right/>
      <top style="thin">
        <color rgb="FF00B050"/>
      </top>
      <bottom style="thin">
        <color rgb="FF00B050"/>
      </bottom>
      <diagonal/>
    </border>
    <border>
      <left/>
      <right style="thin">
        <color rgb="FFE4F4EA"/>
      </right>
      <top style="thin">
        <color rgb="FF00B050"/>
      </top>
      <bottom style="thin">
        <color rgb="FF00B050"/>
      </bottom>
      <diagonal/>
    </border>
    <border>
      <left style="medium">
        <color rgb="FF95B3D7"/>
      </left>
      <right/>
      <top style="thin">
        <color rgb="FF00B050"/>
      </top>
      <bottom style="thin">
        <color rgb="FF00B050"/>
      </bottom>
      <diagonal/>
    </border>
    <border>
      <left/>
      <right/>
      <top style="thin">
        <color rgb="FF00B050"/>
      </top>
      <bottom style="thin">
        <color rgb="FF00B050"/>
      </bottom>
      <diagonal/>
    </border>
    <border>
      <left/>
      <right style="medium">
        <color rgb="FF95B3D7"/>
      </right>
      <top style="thin">
        <color rgb="FF00B050"/>
      </top>
      <bottom style="thin">
        <color rgb="FF00B050"/>
      </bottom>
      <diagonal/>
    </border>
    <border>
      <left style="medium">
        <color theme="4" tint="0.39991454817346722"/>
      </left>
      <right style="medium">
        <color theme="4" tint="0.39991454817346722"/>
      </right>
      <top style="thin">
        <color rgb="FF00B050"/>
      </top>
      <bottom style="thin">
        <color rgb="FF00B050"/>
      </bottom>
      <diagonal/>
    </border>
    <border>
      <left style="medium">
        <color rgb="FF95B3D7"/>
      </left>
      <right style="thin">
        <color rgb="FFE4F4EA"/>
      </right>
      <top style="thin">
        <color rgb="FF00B050"/>
      </top>
      <bottom style="thin">
        <color rgb="FFE4F4EA"/>
      </bottom>
      <diagonal/>
    </border>
    <border>
      <left/>
      <right style="medium">
        <color rgb="FF95B3D7"/>
      </right>
      <top style="thin">
        <color rgb="FF00B050"/>
      </top>
      <bottom/>
      <diagonal/>
    </border>
    <border>
      <left/>
      <right style="thin">
        <color rgb="FFE4F4EA"/>
      </right>
      <top/>
      <bottom style="thin">
        <color rgb="FFE4F4EA"/>
      </bottom>
      <diagonal/>
    </border>
    <border>
      <left style="thin">
        <color rgb="FFE4F4EA"/>
      </left>
      <right style="thin">
        <color rgb="FFE4F4EA"/>
      </right>
      <top/>
      <bottom style="thin">
        <color rgb="FFE4F4EA"/>
      </bottom>
      <diagonal/>
    </border>
    <border>
      <left style="thin">
        <color rgb="FFE4F4EA"/>
      </left>
      <right style="medium">
        <color theme="4" tint="0.39994506668294322"/>
      </right>
      <top/>
      <bottom style="thin">
        <color rgb="FFE4F4EA"/>
      </bottom>
      <diagonal/>
    </border>
    <border>
      <left style="medium">
        <color theme="4" tint="0.39994506668294322"/>
      </left>
      <right style="thin">
        <color rgb="FFE4F4EA"/>
      </right>
      <top/>
      <bottom style="thin">
        <color rgb="FFE4F4EA"/>
      </bottom>
      <diagonal/>
    </border>
    <border>
      <left style="thin">
        <color rgb="FFE4F4EA"/>
      </left>
      <right/>
      <top/>
      <bottom style="thin">
        <color rgb="FFE4F4EA"/>
      </bottom>
      <diagonal/>
    </border>
    <border>
      <left/>
      <right style="medium">
        <color theme="4" tint="0.39994506668294322"/>
      </right>
      <top/>
      <bottom style="thin">
        <color rgb="FFE4F4EA"/>
      </bottom>
      <diagonal/>
    </border>
    <border>
      <left style="medium">
        <color rgb="FF95B3D7"/>
      </left>
      <right/>
      <top/>
      <bottom style="thin">
        <color rgb="FFE4F4EA"/>
      </bottom>
      <diagonal/>
    </border>
    <border>
      <left/>
      <right/>
      <top/>
      <bottom style="thin">
        <color rgb="FFE4F4EA"/>
      </bottom>
      <diagonal/>
    </border>
    <border>
      <left/>
      <right style="medium">
        <color rgb="FF95B3D7"/>
      </right>
      <top/>
      <bottom style="thin">
        <color rgb="FFE4F4EA"/>
      </bottom>
      <diagonal/>
    </border>
    <border>
      <left style="medium">
        <color rgb="FF95B3D7"/>
      </left>
      <right style="thin">
        <color rgb="FFE4F4EA"/>
      </right>
      <top style="thin">
        <color rgb="FFE4F4EA"/>
      </top>
      <bottom style="thin">
        <color rgb="FFE4F4EA"/>
      </bottom>
      <diagonal/>
    </border>
    <border>
      <left/>
      <right style="medium">
        <color rgb="FF95B3D7"/>
      </right>
      <top style="thin">
        <color rgb="FFE4F4EA"/>
      </top>
      <bottom style="thin">
        <color rgb="FFE4F4EA"/>
      </bottom>
      <diagonal/>
    </border>
    <border>
      <left/>
      <right style="thin">
        <color rgb="FFE4F4EA"/>
      </right>
      <top style="thin">
        <color rgb="FFE4F4EA"/>
      </top>
      <bottom style="thin">
        <color rgb="FFE4F4EA"/>
      </bottom>
      <diagonal/>
    </border>
    <border>
      <left style="thin">
        <color rgb="FFE4F4EA"/>
      </left>
      <right style="thin">
        <color rgb="FFE4F4EA"/>
      </right>
      <top style="thin">
        <color rgb="FFE4F4EA"/>
      </top>
      <bottom style="thin">
        <color rgb="FFE4F4EA"/>
      </bottom>
      <diagonal/>
    </border>
    <border>
      <left style="thin">
        <color rgb="FFE4F4EA"/>
      </left>
      <right style="medium">
        <color theme="4" tint="0.39994506668294322"/>
      </right>
      <top style="thin">
        <color rgb="FFE4F4EA"/>
      </top>
      <bottom style="thin">
        <color rgb="FFE4F4EA"/>
      </bottom>
      <diagonal/>
    </border>
    <border>
      <left style="medium">
        <color theme="4" tint="0.39994506668294322"/>
      </left>
      <right style="thin">
        <color rgb="FFE4F4EA"/>
      </right>
      <top style="thin">
        <color rgb="FFE4F4EA"/>
      </top>
      <bottom style="thin">
        <color rgb="FFE4F4EA"/>
      </bottom>
      <diagonal/>
    </border>
    <border>
      <left style="thin">
        <color rgb="FFE4F4EA"/>
      </left>
      <right/>
      <top style="thin">
        <color rgb="FFE4F4EA"/>
      </top>
      <bottom style="thin">
        <color rgb="FFE4F4EA"/>
      </bottom>
      <diagonal/>
    </border>
    <border>
      <left/>
      <right style="medium">
        <color theme="4" tint="0.39994506668294322"/>
      </right>
      <top style="thin">
        <color rgb="FFE4F4EA"/>
      </top>
      <bottom style="thin">
        <color rgb="FFE4F4EA"/>
      </bottom>
      <diagonal/>
    </border>
    <border>
      <left style="medium">
        <color rgb="FF95B3D7"/>
      </left>
      <right/>
      <top style="thin">
        <color rgb="FFE4F4EA"/>
      </top>
      <bottom style="thin">
        <color rgb="FFE4F4EA"/>
      </bottom>
      <diagonal/>
    </border>
    <border>
      <left/>
      <right/>
      <top style="thin">
        <color rgb="FFE4F4EA"/>
      </top>
      <bottom style="thin">
        <color rgb="FFE4F4EA"/>
      </bottom>
      <diagonal/>
    </border>
    <border>
      <left style="thin">
        <color rgb="FFE4F4EA"/>
      </left>
      <right style="medium">
        <color theme="4" tint="0.39991454817346722"/>
      </right>
      <top style="thin">
        <color rgb="FFE4F4EA"/>
      </top>
      <bottom style="thin">
        <color rgb="FFE4F4EA"/>
      </bottom>
      <diagonal/>
    </border>
    <border>
      <left style="thin">
        <color rgb="FFE4F4EA"/>
      </left>
      <right style="medium">
        <color rgb="FF95B3D7"/>
      </right>
      <top style="thin">
        <color rgb="FFE4F4EA"/>
      </top>
      <bottom style="thin">
        <color rgb="FFE4F4EA"/>
      </bottom>
      <diagonal/>
    </border>
    <border>
      <left style="medium">
        <color theme="4" tint="0.39991454817346722"/>
      </left>
      <right style="thin">
        <color rgb="FFE4F4EA"/>
      </right>
      <top style="thin">
        <color rgb="FFE4F4EA"/>
      </top>
      <bottom style="thin">
        <color rgb="FFE4F4EA"/>
      </bottom>
      <diagonal/>
    </border>
    <border>
      <left style="medium">
        <color theme="4" tint="0.39991454817346722"/>
      </left>
      <right style="thin">
        <color rgb="FFE4F4EA"/>
      </right>
      <top style="thin">
        <color rgb="FFE4F4EA"/>
      </top>
      <bottom style="medium">
        <color theme="4" tint="0.39991454817346722"/>
      </bottom>
      <diagonal/>
    </border>
    <border>
      <left style="thin">
        <color rgb="FFE4F4EA"/>
      </left>
      <right style="medium">
        <color theme="4" tint="0.39991454817346722"/>
      </right>
      <top style="thin">
        <color rgb="FFE4F4EA"/>
      </top>
      <bottom style="medium">
        <color theme="4" tint="0.39991454817346722"/>
      </bottom>
      <diagonal/>
    </border>
    <border>
      <left/>
      <right style="thin">
        <color rgb="FFE4F4EA"/>
      </right>
      <top style="thin">
        <color rgb="FFE4F4EA"/>
      </top>
      <bottom style="medium">
        <color theme="4" tint="0.39994506668294322"/>
      </bottom>
      <diagonal/>
    </border>
    <border>
      <left style="thin">
        <color rgb="FFE4F4EA"/>
      </left>
      <right style="thin">
        <color rgb="FFE4F4EA"/>
      </right>
      <top style="thin">
        <color rgb="FFE4F4EA"/>
      </top>
      <bottom style="medium">
        <color theme="4" tint="0.39994506668294322"/>
      </bottom>
      <diagonal/>
    </border>
    <border>
      <left style="thin">
        <color rgb="FFE4F4EA"/>
      </left>
      <right style="medium">
        <color theme="4" tint="0.39994506668294322"/>
      </right>
      <top style="thin">
        <color rgb="FFE4F4EA"/>
      </top>
      <bottom style="medium">
        <color theme="4" tint="0.39994506668294322"/>
      </bottom>
      <diagonal/>
    </border>
    <border>
      <left style="medium">
        <color theme="4" tint="0.39994506668294322"/>
      </left>
      <right style="thin">
        <color rgb="FFE4F4EA"/>
      </right>
      <top style="thin">
        <color rgb="FFE4F4EA"/>
      </top>
      <bottom style="medium">
        <color theme="4" tint="0.39994506668294322"/>
      </bottom>
      <diagonal/>
    </border>
    <border>
      <left style="thin">
        <color rgb="FFE4F4EA"/>
      </left>
      <right/>
      <top style="thin">
        <color rgb="FFE4F4EA"/>
      </top>
      <bottom style="medium">
        <color theme="4" tint="0.39994506668294322"/>
      </bottom>
      <diagonal/>
    </border>
    <border>
      <left/>
      <right style="medium">
        <color theme="4" tint="0.39994506668294322"/>
      </right>
      <top style="thin">
        <color rgb="FFE4F4EA"/>
      </top>
      <bottom style="medium">
        <color theme="4" tint="0.39994506668294322"/>
      </bottom>
      <diagonal/>
    </border>
    <border>
      <left style="medium">
        <color rgb="FF95B3D7"/>
      </left>
      <right/>
      <top style="thin">
        <color rgb="FFE4F4EA"/>
      </top>
      <bottom style="medium">
        <color rgb="FF95B3D7"/>
      </bottom>
      <diagonal/>
    </border>
    <border>
      <left/>
      <right/>
      <top style="thin">
        <color rgb="FFE4F4EA"/>
      </top>
      <bottom style="medium">
        <color rgb="FF95B3D7"/>
      </bottom>
      <diagonal/>
    </border>
    <border>
      <left/>
      <right style="medium">
        <color rgb="FF95B3D7"/>
      </right>
      <top style="thin">
        <color rgb="FFE4F4EA"/>
      </top>
      <bottom style="medium">
        <color rgb="FF95B3D7"/>
      </bottom>
      <diagonal/>
    </border>
    <border>
      <left/>
      <right style="thin">
        <color rgb="FFE4F4EA"/>
      </right>
      <top style="thin">
        <color rgb="FFE4F4EA"/>
      </top>
      <bottom style="medium">
        <color theme="4" tint="0.39991454817346722"/>
      </bottom>
      <diagonal/>
    </border>
    <border>
      <left style="thin">
        <color rgb="FFE4F4EA"/>
      </left>
      <right style="thin">
        <color rgb="FFE4F4EA"/>
      </right>
      <top style="thin">
        <color rgb="FFE4F4EA"/>
      </top>
      <bottom style="medium">
        <color theme="4" tint="0.39991454817346722"/>
      </bottom>
      <diagonal/>
    </border>
    <border>
      <left style="medium">
        <color theme="4" tint="0.39991454817346722"/>
      </left>
      <right style="medium">
        <color theme="4" tint="0.39988402966399123"/>
      </right>
      <top style="medium">
        <color theme="4" tint="0.39988402966399123"/>
      </top>
      <bottom/>
      <diagonal/>
    </border>
    <border>
      <left style="medium">
        <color theme="4" tint="0.39991454817346722"/>
      </left>
      <right style="medium">
        <color theme="4" tint="0.39988402966399123"/>
      </right>
      <top style="thin">
        <color rgb="FF00B050"/>
      </top>
      <bottom style="thin">
        <color rgb="FF00B050"/>
      </bottom>
      <diagonal/>
    </border>
    <border>
      <left style="medium">
        <color theme="4" tint="0.39991454817346722"/>
      </left>
      <right style="medium">
        <color theme="4" tint="0.39988402966399123"/>
      </right>
      <top/>
      <bottom style="thin">
        <color rgb="FFE4F4EA"/>
      </bottom>
      <diagonal/>
    </border>
    <border>
      <left style="medium">
        <color theme="4" tint="0.39994506668294322"/>
      </left>
      <right/>
      <top style="medium">
        <color theme="4" tint="0.39994506668294322"/>
      </top>
      <bottom/>
      <diagonal/>
    </border>
    <border>
      <left style="medium">
        <color theme="4" tint="0.39994506668294322"/>
      </left>
      <right/>
      <top style="medium">
        <color theme="4" tint="0.39994506668294322"/>
      </top>
      <bottom style="thin">
        <color rgb="FF00B050"/>
      </bottom>
      <diagonal/>
    </border>
    <border>
      <left/>
      <right/>
      <top style="medium">
        <color theme="4" tint="0.39994506668294322"/>
      </top>
      <bottom style="thin">
        <color rgb="FF00B050"/>
      </bottom>
      <diagonal/>
    </border>
    <border>
      <left/>
      <right style="medium">
        <color theme="4" tint="0.39994506668294322"/>
      </right>
      <top style="medium">
        <color theme="4" tint="0.39994506668294322"/>
      </top>
      <bottom style="thin">
        <color rgb="FF00B050"/>
      </bottom>
      <diagonal/>
    </border>
    <border>
      <left/>
      <right/>
      <top style="medium">
        <color theme="4" tint="0.39994506668294322"/>
      </top>
      <bottom/>
      <diagonal/>
    </border>
    <border>
      <left style="medium">
        <color theme="4" tint="0.39994506668294322"/>
      </left>
      <right style="thin">
        <color rgb="FFE4F4EA"/>
      </right>
      <top style="thin">
        <color rgb="FF00B050"/>
      </top>
      <bottom style="thin">
        <color rgb="FF00B050"/>
      </bottom>
      <diagonal/>
    </border>
    <border>
      <left style="medium">
        <color theme="4" tint="0.39994506668294322"/>
      </left>
      <right/>
      <top style="thin">
        <color rgb="FF00B050"/>
      </top>
      <bottom style="thin">
        <color rgb="FF00B050"/>
      </bottom>
      <diagonal/>
    </border>
    <border>
      <left style="thin">
        <color rgb="FFE4F4EA"/>
      </left>
      <right style="medium">
        <color theme="4" tint="0.39994506668294322"/>
      </right>
      <top style="thin">
        <color rgb="FF00B050"/>
      </top>
      <bottom style="thin">
        <color rgb="FF00B050"/>
      </bottom>
      <diagonal/>
    </border>
    <border>
      <left style="medium">
        <color theme="4" tint="0.39994506668294322"/>
      </left>
      <right style="thin">
        <color rgb="FFE4F4EA"/>
      </right>
      <top style="thin">
        <color rgb="FF00B050"/>
      </top>
      <bottom style="thin">
        <color rgb="FFE4F4EA"/>
      </bottom>
      <diagonal/>
    </border>
    <border>
      <left style="medium">
        <color theme="4" tint="0.39994506668294322"/>
      </left>
      <right style="medium">
        <color theme="4" tint="0.39994506668294322"/>
      </right>
      <top style="thin">
        <color rgb="FF00B050"/>
      </top>
      <bottom style="thin">
        <color rgb="FFE4F4EA"/>
      </bottom>
      <diagonal/>
    </border>
    <border>
      <left style="medium">
        <color theme="4" tint="0.39994506668294322"/>
      </left>
      <right/>
      <top style="thin">
        <color rgb="FF00B050"/>
      </top>
      <bottom style="thin">
        <color rgb="FFE4F4EA"/>
      </bottom>
      <diagonal/>
    </border>
    <border>
      <left/>
      <right style="thin">
        <color rgb="FFE4F4EA"/>
      </right>
      <top style="thin">
        <color rgb="FF00B050"/>
      </top>
      <bottom style="thin">
        <color rgb="FFE4F4EA"/>
      </bottom>
      <diagonal/>
    </border>
    <border>
      <left style="medium">
        <color theme="4" tint="0.39994506668294322"/>
      </left>
      <right style="medium">
        <color theme="4" tint="0.39994506668294322"/>
      </right>
      <top style="thin">
        <color rgb="FFE4F4EA"/>
      </top>
      <bottom style="thin">
        <color rgb="FFE4F4EA"/>
      </bottom>
      <diagonal/>
    </border>
    <border>
      <left style="medium">
        <color theme="4" tint="0.39994506668294322"/>
      </left>
      <right/>
      <top style="thin">
        <color rgb="FFE4F4EA"/>
      </top>
      <bottom style="thin">
        <color rgb="FFE4F4EA"/>
      </bottom>
      <diagonal/>
    </border>
    <border>
      <left style="medium">
        <color theme="4" tint="0.39994506668294322"/>
      </left>
      <right/>
      <top/>
      <bottom/>
      <diagonal/>
    </border>
    <border>
      <left style="medium">
        <color theme="4" tint="0.39994506668294322"/>
      </left>
      <right style="medium">
        <color theme="4" tint="0.39994506668294322"/>
      </right>
      <top style="thin">
        <color rgb="FFE4F4EA"/>
      </top>
      <bottom style="medium">
        <color theme="4" tint="0.39994506668294322"/>
      </bottom>
      <diagonal/>
    </border>
    <border>
      <left style="medium">
        <color theme="4" tint="0.39994506668294322"/>
      </left>
      <right/>
      <top style="thin">
        <color rgb="FFE4F4EA"/>
      </top>
      <bottom style="medium">
        <color theme="4" tint="0.39994506668294322"/>
      </bottom>
      <diagonal/>
    </border>
    <border>
      <left/>
      <right/>
      <top style="thin">
        <color rgb="FFE4F4EA"/>
      </top>
      <bottom style="medium">
        <color theme="4" tint="0.39994506668294322"/>
      </bottom>
      <diagonal/>
    </border>
    <border>
      <left/>
      <right/>
      <top style="thin">
        <color rgb="FFE4F4EA"/>
      </top>
      <bottom style="medium">
        <color theme="4" tint="0.39991454817346722"/>
      </bottom>
      <diagonal/>
    </border>
    <border>
      <left style="medium">
        <color theme="4" tint="0.39991454817346722"/>
      </left>
      <right/>
      <top style="medium">
        <color theme="4" tint="0.39991454817346722"/>
      </top>
      <bottom style="thin">
        <color rgb="FF00B050"/>
      </bottom>
      <diagonal/>
    </border>
    <border>
      <left/>
      <right/>
      <top style="medium">
        <color theme="4" tint="0.39991454817346722"/>
      </top>
      <bottom style="thin">
        <color rgb="FF00B050"/>
      </bottom>
      <diagonal/>
    </border>
    <border>
      <left/>
      <right style="medium">
        <color theme="4" tint="0.39994506668294322"/>
      </right>
      <top style="medium">
        <color theme="4" tint="0.39991454817346722"/>
      </top>
      <bottom style="thin">
        <color rgb="FF00B050"/>
      </bottom>
      <diagonal/>
    </border>
    <border>
      <left style="medium">
        <color rgb="FF95B3D7"/>
      </left>
      <right style="thin">
        <color rgb="FFE4F4EA"/>
      </right>
      <top style="thin">
        <color rgb="FFE4F4EA"/>
      </top>
      <bottom/>
      <diagonal/>
    </border>
    <border>
      <left/>
      <right style="medium">
        <color rgb="FF95B3D7"/>
      </right>
      <top style="thin">
        <color rgb="FFE4F4EA"/>
      </top>
      <bottom/>
      <diagonal/>
    </border>
    <border>
      <left/>
      <right style="thin">
        <color rgb="FFE4F4EA"/>
      </right>
      <top style="thin">
        <color rgb="FFE4F4EA"/>
      </top>
      <bottom/>
      <diagonal/>
    </border>
    <border>
      <left style="thin">
        <color rgb="FFE4F4EA"/>
      </left>
      <right style="thin">
        <color rgb="FFE4F4EA"/>
      </right>
      <top style="thin">
        <color rgb="FFE4F4EA"/>
      </top>
      <bottom/>
      <diagonal/>
    </border>
    <border>
      <left style="thin">
        <color rgb="FFE4F4EA"/>
      </left>
      <right style="medium">
        <color theme="4" tint="0.39994506668294322"/>
      </right>
      <top style="thin">
        <color rgb="FFE4F4EA"/>
      </top>
      <bottom/>
      <diagonal/>
    </border>
    <border>
      <left style="medium">
        <color theme="4" tint="0.39994506668294322"/>
      </left>
      <right style="thin">
        <color rgb="FFE4F4EA"/>
      </right>
      <top style="thin">
        <color rgb="FFE4F4EA"/>
      </top>
      <bottom/>
      <diagonal/>
    </border>
    <border>
      <left style="thin">
        <color rgb="FFE4F4EA"/>
      </left>
      <right/>
      <top style="thin">
        <color rgb="FFE4F4EA"/>
      </top>
      <bottom/>
      <diagonal/>
    </border>
    <border>
      <left/>
      <right style="medium">
        <color theme="4" tint="0.39994506668294322"/>
      </right>
      <top style="thin">
        <color rgb="FFE4F4EA"/>
      </top>
      <bottom/>
      <diagonal/>
    </border>
    <border>
      <left style="medium">
        <color rgb="FF95B3D7"/>
      </left>
      <right/>
      <top style="thin">
        <color rgb="FFE4F4EA"/>
      </top>
      <bottom/>
      <diagonal/>
    </border>
    <border>
      <left/>
      <right/>
      <top style="thin">
        <color rgb="FFE4F4EA"/>
      </top>
      <bottom/>
      <diagonal/>
    </border>
    <border>
      <left style="thin">
        <color rgb="FFE4F4EA"/>
      </left>
      <right style="medium">
        <color theme="4" tint="0.39991454817346722"/>
      </right>
      <top style="thin">
        <color rgb="FFE4F4EA"/>
      </top>
      <bottom/>
      <diagonal/>
    </border>
    <border>
      <left style="medium">
        <color rgb="FF95B3D7"/>
      </left>
      <right style="thin">
        <color rgb="FFE4F4EA"/>
      </right>
      <top/>
      <bottom style="thin">
        <color rgb="FFE4F4EA"/>
      </bottom>
      <diagonal/>
    </border>
    <border>
      <left style="medium">
        <color theme="4" tint="0.39991454817346722"/>
      </left>
      <right style="medium">
        <color theme="4" tint="0.39994506668294322"/>
      </right>
      <top style="thin">
        <color rgb="FF00B050"/>
      </top>
      <bottom style="thin">
        <color rgb="FFE4F4EA"/>
      </bottom>
      <diagonal/>
    </border>
    <border>
      <left style="medium">
        <color theme="4" tint="0.39991454817346722"/>
      </left>
      <right style="medium">
        <color theme="4" tint="0.39994506668294322"/>
      </right>
      <top/>
      <bottom style="thin">
        <color rgb="FFE4F4EA"/>
      </bottom>
      <diagonal/>
    </border>
    <border>
      <left style="medium">
        <color theme="4" tint="0.39991454817346722"/>
      </left>
      <right style="medium">
        <color theme="4" tint="0.39994506668294322"/>
      </right>
      <top/>
      <bottom style="thin">
        <color indexed="64"/>
      </bottom>
      <diagonal/>
    </border>
    <border>
      <left style="medium">
        <color theme="4" tint="0.39991454817346722"/>
      </left>
      <right style="medium">
        <color theme="4" tint="0.39988402966399123"/>
      </right>
      <top style="thin">
        <color rgb="FF00B050"/>
      </top>
      <bottom style="thin">
        <color rgb="FFE4F4EA"/>
      </bottom>
      <diagonal/>
    </border>
    <border>
      <left style="medium">
        <color theme="4" tint="0.39991454817346722"/>
      </left>
      <right style="medium">
        <color theme="4" tint="0.39988402966399123"/>
      </right>
      <top/>
      <bottom style="thin">
        <color indexed="64"/>
      </bottom>
      <diagonal/>
    </border>
    <border>
      <left style="medium">
        <color theme="4" tint="0.39991454817346722"/>
      </left>
      <right style="medium">
        <color theme="4" tint="0.39988402966399123"/>
      </right>
      <top style="thin">
        <color rgb="FFE4F4EA"/>
      </top>
      <bottom style="thin">
        <color indexed="64"/>
      </bottom>
      <diagonal/>
    </border>
  </borders>
  <cellStyleXfs count="6">
    <xf numFmtId="0" fontId="0" fillId="0" borderId="0"/>
    <xf numFmtId="43" fontId="14" fillId="0" borderId="0"/>
    <xf numFmtId="43" fontId="14" fillId="0" borderId="0"/>
    <xf numFmtId="0" fontId="14" fillId="0" borderId="0">
      <alignment horizontal="left" vertical="center" wrapText="1" indent="1"/>
    </xf>
    <xf numFmtId="0" fontId="5" fillId="0" borderId="0"/>
    <xf numFmtId="0" fontId="16" fillId="0" borderId="0">
      <alignment vertical="center" wrapText="1"/>
    </xf>
  </cellStyleXfs>
  <cellXfs count="339">
    <xf numFmtId="0" fontId="0" fillId="0" borderId="0" xfId="0"/>
    <xf numFmtId="0" fontId="14" fillId="0" borderId="0" xfId="3">
      <alignment horizontal="left" vertical="center" wrapText="1" indent="1"/>
    </xf>
    <xf numFmtId="0" fontId="0" fillId="0" borderId="2" xfId="0" applyBorder="1"/>
    <xf numFmtId="0" fontId="7" fillId="0" borderId="2" xfId="0" applyFont="1" applyBorder="1" applyAlignment="1">
      <alignment wrapText="1"/>
    </xf>
    <xf numFmtId="0" fontId="8" fillId="0" borderId="6" xfId="0" applyFont="1" applyBorder="1" applyAlignment="1">
      <alignment horizontal="center" vertical="center" wrapText="1"/>
    </xf>
    <xf numFmtId="0" fontId="2" fillId="6" borderId="7" xfId="0" applyFont="1" applyFill="1" applyBorder="1" applyAlignment="1">
      <alignment horizontal="center" vertical="center" wrapText="1"/>
    </xf>
    <xf numFmtId="0" fontId="9" fillId="0" borderId="6" xfId="0" applyFont="1" applyBorder="1" applyAlignment="1">
      <alignment horizontal="center" vertical="center" wrapText="1"/>
    </xf>
    <xf numFmtId="0" fontId="7" fillId="0" borderId="6" xfId="0" applyFont="1" applyBorder="1" applyAlignment="1">
      <alignment wrapText="1"/>
    </xf>
    <xf numFmtId="0" fontId="1" fillId="5" borderId="0" xfId="0" applyFont="1" applyFill="1" applyAlignment="1">
      <alignment horizontal="center"/>
    </xf>
    <xf numFmtId="0" fontId="10" fillId="0" borderId="4" xfId="0" applyFont="1" applyBorder="1" applyAlignment="1">
      <alignment vertical="center" wrapText="1"/>
    </xf>
    <xf numFmtId="0" fontId="11" fillId="2" borderId="4" xfId="0" applyFont="1" applyFill="1" applyBorder="1" applyAlignment="1">
      <alignment horizontal="center" vertical="center"/>
    </xf>
    <xf numFmtId="0" fontId="7" fillId="0" borderId="8" xfId="0" applyFont="1" applyBorder="1" applyAlignment="1">
      <alignment wrapText="1"/>
    </xf>
    <xf numFmtId="0" fontId="10" fillId="0" borderId="5" xfId="0" applyFont="1" applyBorder="1" applyAlignment="1">
      <alignment vertical="center" wrapText="1"/>
    </xf>
    <xf numFmtId="0" fontId="11" fillId="3" borderId="4" xfId="0" applyFont="1" applyFill="1" applyBorder="1" applyAlignment="1">
      <alignment vertical="center"/>
    </xf>
    <xf numFmtId="0" fontId="11" fillId="7" borderId="4" xfId="0" applyFont="1" applyFill="1" applyBorder="1" applyAlignment="1">
      <alignment vertical="center" wrapText="1"/>
    </xf>
    <xf numFmtId="0" fontId="11" fillId="3"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4" borderId="4" xfId="0" applyFont="1" applyFill="1" applyBorder="1" applyAlignment="1">
      <alignment horizontal="center" vertical="top" wrapText="1"/>
    </xf>
    <xf numFmtId="0" fontId="12" fillId="0" borderId="4" xfId="0" applyFont="1" applyBorder="1" applyAlignment="1">
      <alignment horizontal="center" vertical="top" wrapText="1"/>
    </xf>
    <xf numFmtId="0" fontId="13" fillId="0" borderId="4" xfId="0" applyFont="1" applyBorder="1" applyAlignment="1">
      <alignment horizontal="center" vertical="top" wrapText="1"/>
    </xf>
    <xf numFmtId="0" fontId="12" fillId="0" borderId="3" xfId="0" applyFont="1" applyBorder="1" applyAlignment="1">
      <alignment horizontal="center" vertical="top" wrapText="1"/>
    </xf>
    <xf numFmtId="0" fontId="12" fillId="0" borderId="1" xfId="0" applyFont="1" applyBorder="1" applyAlignment="1">
      <alignment horizontal="center" vertical="top" wrapText="1"/>
    </xf>
    <xf numFmtId="0" fontId="11" fillId="2" borderId="2" xfId="0" applyFont="1" applyFill="1" applyBorder="1" applyAlignment="1">
      <alignment horizontal="center" vertical="top" wrapText="1"/>
    </xf>
    <xf numFmtId="0" fontId="5" fillId="0" borderId="0" xfId="4" applyAlignment="1">
      <alignment vertical="center"/>
    </xf>
    <xf numFmtId="165" fontId="11" fillId="0" borderId="0" xfId="4" applyNumberFormat="1" applyFont="1"/>
    <xf numFmtId="0" fontId="11" fillId="0" borderId="0" xfId="4" applyFont="1"/>
    <xf numFmtId="0" fontId="17" fillId="0" borderId="0" xfId="4" applyFont="1"/>
    <xf numFmtId="0" fontId="13" fillId="0" borderId="0" xfId="4" applyFont="1"/>
    <xf numFmtId="0" fontId="18" fillId="0" borderId="0" xfId="4" applyFont="1" applyAlignment="1">
      <alignment vertical="center"/>
    </xf>
    <xf numFmtId="0" fontId="19" fillId="5" borderId="0" xfId="4" applyFont="1" applyFill="1" applyAlignment="1">
      <alignment vertical="center"/>
    </xf>
    <xf numFmtId="0" fontId="20" fillId="5" borderId="9" xfId="4" applyFont="1" applyFill="1" applyBorder="1" applyAlignment="1">
      <alignment vertical="center"/>
    </xf>
    <xf numFmtId="0" fontId="20" fillId="5" borderId="10" xfId="4" applyFont="1" applyFill="1" applyBorder="1" applyAlignment="1">
      <alignment vertical="center" wrapText="1"/>
    </xf>
    <xf numFmtId="0" fontId="3" fillId="5" borderId="15" xfId="4" applyFont="1" applyFill="1" applyBorder="1" applyAlignment="1">
      <alignment horizontal="center" vertical="center" wrapText="1"/>
    </xf>
    <xf numFmtId="0" fontId="24" fillId="5" borderId="15" xfId="4" applyFont="1" applyFill="1" applyBorder="1" applyAlignment="1">
      <alignment horizontal="center" vertical="center" wrapText="1"/>
    </xf>
    <xf numFmtId="0" fontId="24" fillId="5" borderId="16" xfId="4" applyFont="1" applyFill="1" applyBorder="1" applyAlignment="1">
      <alignment horizontal="center" vertical="center" wrapText="1"/>
    </xf>
    <xf numFmtId="0" fontId="11" fillId="0" borderId="0" xfId="4" applyFont="1" applyAlignment="1">
      <alignment vertical="center"/>
    </xf>
    <xf numFmtId="0" fontId="25" fillId="0" borderId="0" xfId="4" applyFont="1" applyAlignment="1">
      <alignment vertical="center"/>
    </xf>
    <xf numFmtId="0" fontId="11" fillId="8" borderId="17" xfId="4" applyFont="1" applyFill="1" applyBorder="1" applyAlignment="1">
      <alignment vertical="center" wrapText="1"/>
    </xf>
    <xf numFmtId="0" fontId="11" fillId="8" borderId="18" xfId="4" applyFont="1" applyFill="1" applyBorder="1" applyAlignment="1">
      <alignment vertical="center" wrapText="1"/>
    </xf>
    <xf numFmtId="0" fontId="27" fillId="8" borderId="20" xfId="4" applyFont="1" applyFill="1" applyBorder="1" applyAlignment="1">
      <alignment vertical="center" wrapText="1"/>
    </xf>
    <xf numFmtId="0" fontId="27" fillId="8" borderId="22" xfId="4" applyFont="1" applyFill="1" applyBorder="1" applyAlignment="1">
      <alignment vertical="center" wrapText="1"/>
    </xf>
    <xf numFmtId="43" fontId="27" fillId="8" borderId="20" xfId="4" applyNumberFormat="1" applyFont="1" applyFill="1" applyBorder="1" applyAlignment="1">
      <alignment vertical="center" wrapText="1"/>
    </xf>
    <xf numFmtId="43" fontId="27" fillId="8" borderId="21" xfId="4" applyNumberFormat="1" applyFont="1" applyFill="1" applyBorder="1" applyAlignment="1">
      <alignment vertical="center" wrapText="1"/>
    </xf>
    <xf numFmtId="0" fontId="27" fillId="8" borderId="23" xfId="4" applyFont="1" applyFill="1" applyBorder="1" applyAlignment="1">
      <alignment vertical="center" wrapText="1"/>
    </xf>
    <xf numFmtId="0" fontId="27" fillId="8" borderId="0" xfId="4" applyFont="1" applyFill="1" applyAlignment="1">
      <alignment vertical="center" wrapText="1"/>
    </xf>
    <xf numFmtId="0" fontId="28" fillId="9" borderId="24" xfId="4" applyFont="1" applyFill="1" applyBorder="1" applyAlignment="1">
      <alignment horizontal="center" vertical="center" wrapText="1"/>
    </xf>
    <xf numFmtId="0" fontId="28" fillId="9" borderId="25" xfId="4" applyFont="1" applyFill="1" applyBorder="1" applyAlignment="1">
      <alignment horizontal="center" vertical="center" wrapText="1"/>
    </xf>
    <xf numFmtId="0" fontId="28" fillId="9" borderId="26" xfId="4" applyFont="1" applyFill="1" applyBorder="1" applyAlignment="1">
      <alignment horizontal="center" vertical="center" wrapText="1"/>
    </xf>
    <xf numFmtId="0" fontId="29" fillId="9" borderId="24" xfId="4" applyFont="1" applyFill="1" applyBorder="1" applyAlignment="1">
      <alignment horizontal="center" vertical="center" wrapText="1"/>
    </xf>
    <xf numFmtId="0" fontId="30" fillId="9" borderId="25" xfId="4" applyFont="1" applyFill="1" applyBorder="1" applyAlignment="1">
      <alignment horizontal="center" vertical="center" wrapText="1"/>
    </xf>
    <xf numFmtId="0" fontId="29" fillId="9" borderId="26" xfId="4" applyFont="1" applyFill="1" applyBorder="1" applyAlignment="1">
      <alignment horizontal="center" vertical="center" wrapText="1"/>
    </xf>
    <xf numFmtId="0" fontId="29" fillId="9" borderId="25" xfId="4" applyFont="1" applyFill="1" applyBorder="1" applyAlignment="1">
      <alignment horizontal="center" vertical="center" wrapText="1"/>
    </xf>
    <xf numFmtId="0" fontId="31" fillId="9" borderId="24" xfId="4" applyFont="1" applyFill="1" applyBorder="1" applyAlignment="1">
      <alignment horizontal="center" vertical="center" wrapText="1"/>
    </xf>
    <xf numFmtId="0" fontId="31" fillId="9" borderId="26" xfId="4" applyFont="1" applyFill="1" applyBorder="1" applyAlignment="1">
      <alignment horizontal="center" vertical="center" wrapText="1"/>
    </xf>
    <xf numFmtId="0" fontId="31" fillId="9" borderId="27" xfId="4" applyFont="1" applyFill="1" applyBorder="1" applyAlignment="1">
      <alignment horizontal="center" vertical="center" wrapText="1"/>
    </xf>
    <xf numFmtId="0" fontId="31" fillId="9" borderId="28" xfId="4" applyFont="1" applyFill="1" applyBorder="1" applyAlignment="1">
      <alignment horizontal="center" vertical="center" wrapText="1"/>
    </xf>
    <xf numFmtId="0" fontId="31" fillId="9" borderId="25" xfId="4" applyFont="1" applyFill="1" applyBorder="1" applyAlignment="1">
      <alignment horizontal="center" vertical="center" wrapText="1"/>
    </xf>
    <xf numFmtId="0" fontId="31" fillId="9" borderId="29" xfId="4" applyFont="1" applyFill="1" applyBorder="1" applyAlignment="1">
      <alignment horizontal="center" vertical="center" wrapText="1"/>
    </xf>
    <xf numFmtId="0" fontId="31" fillId="9" borderId="30" xfId="4" applyFont="1" applyFill="1" applyBorder="1" applyAlignment="1">
      <alignment horizontal="center" vertical="center" wrapText="1"/>
    </xf>
    <xf numFmtId="0" fontId="30" fillId="9" borderId="31" xfId="4" applyFont="1" applyFill="1" applyBorder="1" applyAlignment="1">
      <alignment horizontal="center" vertical="center" wrapText="1"/>
    </xf>
    <xf numFmtId="0" fontId="31" fillId="9" borderId="32" xfId="4" applyFont="1" applyFill="1" applyBorder="1" applyAlignment="1">
      <alignment horizontal="center" vertical="center" wrapText="1"/>
    </xf>
    <xf numFmtId="0" fontId="11" fillId="0" borderId="0" xfId="4" applyFont="1" applyAlignment="1">
      <alignment vertical="top"/>
    </xf>
    <xf numFmtId="0" fontId="32" fillId="0" borderId="0" xfId="4" applyFont="1" applyAlignment="1">
      <alignment horizontal="center" vertical="top"/>
    </xf>
    <xf numFmtId="0" fontId="4" fillId="0" borderId="33" xfId="4" applyFont="1" applyBorder="1" applyAlignment="1">
      <alignment horizontal="center" vertical="center"/>
    </xf>
    <xf numFmtId="3" fontId="5" fillId="4" borderId="34" xfId="4" applyNumberFormat="1" applyFill="1" applyBorder="1" applyAlignment="1">
      <alignment vertical="center"/>
    </xf>
    <xf numFmtId="3" fontId="4" fillId="4" borderId="35" xfId="4" applyNumberFormat="1" applyFont="1" applyFill="1" applyBorder="1" applyAlignment="1">
      <alignment horizontal="center" vertical="center"/>
    </xf>
    <xf numFmtId="3" fontId="4" fillId="4" borderId="36" xfId="4" applyNumberFormat="1" applyFont="1" applyFill="1" applyBorder="1" applyAlignment="1">
      <alignment horizontal="center" vertical="center"/>
    </xf>
    <xf numFmtId="3" fontId="4" fillId="10" borderId="36" xfId="4" applyNumberFormat="1" applyFont="1" applyFill="1" applyBorder="1" applyAlignment="1">
      <alignment horizontal="center" vertical="center"/>
    </xf>
    <xf numFmtId="3" fontId="4" fillId="10" borderId="37" xfId="4" applyNumberFormat="1" applyFont="1" applyFill="1" applyBorder="1" applyAlignment="1">
      <alignment horizontal="center" vertical="center"/>
    </xf>
    <xf numFmtId="165" fontId="4" fillId="4" borderId="38" xfId="4" applyNumberFormat="1" applyFont="1" applyFill="1" applyBorder="1" applyAlignment="1">
      <alignment horizontal="center" vertical="center"/>
    </xf>
    <xf numFmtId="165" fontId="4" fillId="4" borderId="36" xfId="4" applyNumberFormat="1" applyFont="1" applyFill="1" applyBorder="1" applyAlignment="1">
      <alignment horizontal="center" vertical="center"/>
    </xf>
    <xf numFmtId="165" fontId="4" fillId="4" borderId="37" xfId="4" applyNumberFormat="1" applyFont="1" applyFill="1" applyBorder="1" applyAlignment="1">
      <alignment horizontal="center" vertical="center"/>
    </xf>
    <xf numFmtId="165" fontId="11" fillId="10" borderId="38" xfId="4" applyNumberFormat="1" applyFont="1" applyFill="1" applyBorder="1" applyAlignment="1">
      <alignment vertical="center"/>
    </xf>
    <xf numFmtId="165" fontId="11" fillId="10" borderId="36" xfId="4" applyNumberFormat="1" applyFont="1" applyFill="1" applyBorder="1" applyAlignment="1">
      <alignment vertical="center"/>
    </xf>
    <xf numFmtId="165" fontId="11" fillId="10" borderId="39" xfId="4" applyNumberFormat="1" applyFont="1" applyFill="1" applyBorder="1" applyAlignment="1">
      <alignment vertical="center"/>
    </xf>
    <xf numFmtId="165" fontId="11" fillId="10" borderId="40" xfId="4" applyNumberFormat="1" applyFont="1" applyFill="1" applyBorder="1" applyAlignment="1">
      <alignment vertical="center"/>
    </xf>
    <xf numFmtId="165" fontId="4" fillId="10" borderId="36" xfId="4" applyNumberFormat="1" applyFont="1" applyFill="1" applyBorder="1" applyAlignment="1">
      <alignment horizontal="center" vertical="center"/>
    </xf>
    <xf numFmtId="165" fontId="4" fillId="10" borderId="37" xfId="4" applyNumberFormat="1" applyFont="1" applyFill="1" applyBorder="1" applyAlignment="1">
      <alignment horizontal="center" vertical="center"/>
    </xf>
    <xf numFmtId="3" fontId="4" fillId="4" borderId="38" xfId="4" applyNumberFormat="1" applyFont="1" applyFill="1" applyBorder="1" applyAlignment="1">
      <alignment horizontal="center" vertical="center"/>
    </xf>
    <xf numFmtId="3" fontId="11" fillId="4" borderId="36" xfId="4" applyNumberFormat="1" applyFont="1" applyFill="1" applyBorder="1" applyAlignment="1">
      <alignment horizontal="center" vertical="center"/>
    </xf>
    <xf numFmtId="3" fontId="4" fillId="10" borderId="38" xfId="4" applyNumberFormat="1" applyFont="1" applyFill="1" applyBorder="1" applyAlignment="1">
      <alignment horizontal="center" vertical="center"/>
    </xf>
    <xf numFmtId="3" fontId="4" fillId="10" borderId="39" xfId="4" applyNumberFormat="1" applyFont="1" applyFill="1" applyBorder="1" applyAlignment="1">
      <alignment horizontal="center" vertical="center"/>
    </xf>
    <xf numFmtId="3" fontId="4" fillId="10" borderId="41" xfId="4" applyNumberFormat="1" applyFont="1" applyFill="1" applyBorder="1" applyAlignment="1">
      <alignment horizontal="center" vertical="center"/>
    </xf>
    <xf numFmtId="165" fontId="4" fillId="10" borderId="42" xfId="4" applyNumberFormat="1" applyFont="1" applyFill="1" applyBorder="1" applyAlignment="1">
      <alignment horizontal="center" vertical="center"/>
    </xf>
    <xf numFmtId="3" fontId="4" fillId="10" borderId="42" xfId="4" applyNumberFormat="1" applyFont="1" applyFill="1" applyBorder="1" applyAlignment="1">
      <alignment horizontal="center" vertical="center"/>
    </xf>
    <xf numFmtId="3" fontId="4" fillId="11" borderId="43" xfId="4" applyNumberFormat="1" applyFont="1" applyFill="1" applyBorder="1" applyAlignment="1">
      <alignment horizontal="center" vertical="center"/>
    </xf>
    <xf numFmtId="165" fontId="11" fillId="0" borderId="0" xfId="4" applyNumberFormat="1" applyFont="1" applyAlignment="1">
      <alignment vertical="center"/>
    </xf>
    <xf numFmtId="165" fontId="17" fillId="0" borderId="0" xfId="4" applyNumberFormat="1" applyFont="1"/>
    <xf numFmtId="164" fontId="17" fillId="0" borderId="0" xfId="4" applyNumberFormat="1" applyFont="1"/>
    <xf numFmtId="166" fontId="17" fillId="0" borderId="0" xfId="4" applyNumberFormat="1" applyFont="1"/>
    <xf numFmtId="2" fontId="17" fillId="0" borderId="0" xfId="4" applyNumberFormat="1" applyFont="1"/>
    <xf numFmtId="167" fontId="17" fillId="0" borderId="0" xfId="4" applyNumberFormat="1" applyFont="1"/>
    <xf numFmtId="0" fontId="32" fillId="0" borderId="0" xfId="4" applyFont="1" applyAlignment="1">
      <alignment horizontal="center" vertical="center"/>
    </xf>
    <xf numFmtId="165" fontId="4" fillId="0" borderId="44" xfId="4" applyNumberFormat="1" applyFont="1" applyBorder="1" applyAlignment="1">
      <alignment horizontal="center" vertical="center"/>
    </xf>
    <xf numFmtId="3" fontId="4" fillId="0" borderId="45" xfId="4" applyNumberFormat="1" applyFont="1" applyBorder="1" applyAlignment="1">
      <alignment horizontal="center" vertical="center"/>
    </xf>
    <xf numFmtId="3" fontId="4" fillId="0" borderId="46" xfId="4" applyNumberFormat="1" applyFont="1" applyBorder="1" applyAlignment="1">
      <alignment horizontal="center" vertical="center"/>
    </xf>
    <xf numFmtId="3" fontId="4" fillId="0" borderId="47" xfId="4" applyNumberFormat="1" applyFont="1" applyBorder="1" applyAlignment="1">
      <alignment horizontal="center" vertical="center"/>
    </xf>
    <xf numFmtId="3" fontId="4" fillId="0" borderId="48" xfId="4" applyNumberFormat="1" applyFont="1" applyBorder="1" applyAlignment="1">
      <alignment horizontal="center" vertical="center"/>
    </xf>
    <xf numFmtId="165" fontId="4" fillId="0" borderId="49" xfId="4" applyNumberFormat="1" applyFont="1" applyBorder="1" applyAlignment="1">
      <alignment horizontal="center" vertical="center"/>
    </xf>
    <xf numFmtId="165" fontId="4" fillId="0" borderId="46" xfId="4" applyNumberFormat="1" applyFont="1" applyBorder="1" applyAlignment="1">
      <alignment horizontal="center" vertical="center"/>
    </xf>
    <xf numFmtId="165" fontId="4" fillId="0" borderId="47" xfId="4" applyNumberFormat="1" applyFont="1" applyBorder="1" applyAlignment="1">
      <alignment horizontal="center" vertical="center"/>
    </xf>
    <xf numFmtId="165" fontId="4" fillId="0" borderId="48" xfId="4" applyNumberFormat="1" applyFont="1" applyBorder="1" applyAlignment="1">
      <alignment horizontal="center" vertical="center"/>
    </xf>
    <xf numFmtId="165" fontId="11" fillId="0" borderId="49" xfId="4" applyNumberFormat="1" applyFont="1" applyBorder="1" applyAlignment="1">
      <alignment vertical="center"/>
    </xf>
    <xf numFmtId="165" fontId="11" fillId="0" borderId="47" xfId="4" applyNumberFormat="1" applyFont="1" applyBorder="1" applyAlignment="1">
      <alignment vertical="center"/>
    </xf>
    <xf numFmtId="3" fontId="4" fillId="0" borderId="50" xfId="4" applyNumberFormat="1" applyFont="1" applyBorder="1" applyAlignment="1">
      <alignment horizontal="center" vertical="center"/>
    </xf>
    <xf numFmtId="3" fontId="4" fillId="0" borderId="49" xfId="4" applyNumberFormat="1" applyFont="1" applyBorder="1" applyAlignment="1">
      <alignment horizontal="center" vertical="center"/>
    </xf>
    <xf numFmtId="3" fontId="11" fillId="0" borderId="47" xfId="4" applyNumberFormat="1" applyFont="1" applyBorder="1" applyAlignment="1">
      <alignment horizontal="center" vertical="center"/>
    </xf>
    <xf numFmtId="165" fontId="4" fillId="0" borderId="52" xfId="4" applyNumberFormat="1" applyFont="1" applyBorder="1" applyAlignment="1">
      <alignment horizontal="center" vertical="center"/>
    </xf>
    <xf numFmtId="165" fontId="33" fillId="0" borderId="46" xfId="4" applyNumberFormat="1" applyFont="1" applyBorder="1" applyAlignment="1">
      <alignment horizontal="right" vertical="center"/>
    </xf>
    <xf numFmtId="165" fontId="24" fillId="0" borderId="54" xfId="4" applyNumberFormat="1" applyFont="1" applyBorder="1" applyAlignment="1">
      <alignment horizontal="right" vertical="center"/>
    </xf>
    <xf numFmtId="165" fontId="34" fillId="0" borderId="51" xfId="4" applyNumberFormat="1" applyFont="1" applyBorder="1" applyAlignment="1">
      <alignment horizontal="right" vertical="center"/>
    </xf>
    <xf numFmtId="165" fontId="24" fillId="0" borderId="47" xfId="4" applyNumberFormat="1" applyFont="1" applyBorder="1" applyAlignment="1">
      <alignment horizontal="right" vertical="center"/>
    </xf>
    <xf numFmtId="0" fontId="4" fillId="0" borderId="44" xfId="4" applyFont="1" applyBorder="1" applyAlignment="1">
      <alignment horizontal="center" vertical="center"/>
    </xf>
    <xf numFmtId="0" fontId="4" fillId="0" borderId="55" xfId="4" applyFont="1" applyBorder="1" applyAlignment="1">
      <alignment horizontal="center" vertical="center"/>
    </xf>
    <xf numFmtId="165" fontId="34" fillId="0" borderId="53" xfId="4" applyNumberFormat="1" applyFont="1" applyBorder="1" applyAlignment="1">
      <alignment horizontal="right" vertical="center"/>
    </xf>
    <xf numFmtId="165" fontId="34" fillId="0" borderId="45" xfId="4" applyNumberFormat="1" applyFont="1" applyBorder="1" applyAlignment="1">
      <alignment horizontal="right" vertical="center"/>
    </xf>
    <xf numFmtId="165" fontId="11" fillId="0" borderId="50" xfId="4" applyNumberFormat="1" applyFont="1" applyBorder="1" applyAlignment="1">
      <alignment vertical="center"/>
    </xf>
    <xf numFmtId="165" fontId="11" fillId="0" borderId="51" xfId="4" applyNumberFormat="1" applyFont="1" applyBorder="1" applyAlignment="1">
      <alignment vertical="center"/>
    </xf>
    <xf numFmtId="0" fontId="4" fillId="0" borderId="56" xfId="4" applyFont="1" applyBorder="1" applyAlignment="1">
      <alignment horizontal="center" vertical="center"/>
    </xf>
    <xf numFmtId="0" fontId="4" fillId="0" borderId="54" xfId="4" applyFont="1" applyBorder="1" applyAlignment="1">
      <alignment horizontal="center" vertical="center"/>
    </xf>
    <xf numFmtId="165" fontId="11" fillId="0" borderId="47" xfId="4" applyNumberFormat="1" applyFont="1" applyBorder="1" applyAlignment="1">
      <alignment horizontal="center" vertical="center"/>
    </xf>
    <xf numFmtId="0" fontId="4" fillId="0" borderId="57" xfId="4" applyFont="1" applyBorder="1" applyAlignment="1">
      <alignment horizontal="center"/>
    </xf>
    <xf numFmtId="165" fontId="4" fillId="0" borderId="58" xfId="4" applyNumberFormat="1" applyFont="1" applyBorder="1" applyAlignment="1">
      <alignment horizontal="center"/>
    </xf>
    <xf numFmtId="3" fontId="4" fillId="0" borderId="59" xfId="4" applyNumberFormat="1" applyFont="1" applyBorder="1" applyAlignment="1">
      <alignment horizontal="center"/>
    </xf>
    <xf numFmtId="3" fontId="4" fillId="0" borderId="60" xfId="4" applyNumberFormat="1" applyFont="1" applyBorder="1" applyAlignment="1">
      <alignment horizontal="center"/>
    </xf>
    <xf numFmtId="3" fontId="4" fillId="0" borderId="61" xfId="4" applyNumberFormat="1" applyFont="1" applyBorder="1" applyAlignment="1">
      <alignment horizontal="center"/>
    </xf>
    <xf numFmtId="165" fontId="4" fillId="0" borderId="62" xfId="4" applyNumberFormat="1" applyFont="1" applyBorder="1" applyAlignment="1">
      <alignment horizontal="center"/>
    </xf>
    <xf numFmtId="165" fontId="4" fillId="0" borderId="59" xfId="4" applyNumberFormat="1" applyFont="1" applyBorder="1" applyAlignment="1">
      <alignment horizontal="center"/>
    </xf>
    <xf numFmtId="165" fontId="4" fillId="0" borderId="60" xfId="4" applyNumberFormat="1" applyFont="1" applyBorder="1" applyAlignment="1">
      <alignment horizontal="center"/>
    </xf>
    <xf numFmtId="165" fontId="4" fillId="0" borderId="61" xfId="4" applyNumberFormat="1" applyFont="1" applyBorder="1" applyAlignment="1">
      <alignment horizontal="center"/>
    </xf>
    <xf numFmtId="165" fontId="4" fillId="0" borderId="63" xfId="4" applyNumberFormat="1" applyFont="1" applyBorder="1" applyAlignment="1">
      <alignment horizontal="center"/>
    </xf>
    <xf numFmtId="165" fontId="4" fillId="0" borderId="64" xfId="4" applyNumberFormat="1" applyFont="1" applyBorder="1" applyAlignment="1">
      <alignment horizontal="center"/>
    </xf>
    <xf numFmtId="3" fontId="4" fillId="0" borderId="62" xfId="4" applyNumberFormat="1" applyFont="1" applyBorder="1" applyAlignment="1">
      <alignment horizontal="center"/>
    </xf>
    <xf numFmtId="3" fontId="4" fillId="0" borderId="63" xfId="4" applyNumberFormat="1" applyFont="1" applyBorder="1" applyAlignment="1">
      <alignment horizontal="center"/>
    </xf>
    <xf numFmtId="165" fontId="4" fillId="0" borderId="65" xfId="4" applyNumberFormat="1" applyFont="1" applyBorder="1" applyAlignment="1">
      <alignment horizontal="center"/>
    </xf>
    <xf numFmtId="165" fontId="4" fillId="0" borderId="66" xfId="4" applyNumberFormat="1" applyFont="1" applyBorder="1" applyAlignment="1">
      <alignment horizontal="center"/>
    </xf>
    <xf numFmtId="165" fontId="11" fillId="0" borderId="66" xfId="4" applyNumberFormat="1" applyFont="1" applyBorder="1"/>
    <xf numFmtId="165" fontId="11" fillId="0" borderId="67" xfId="4" applyNumberFormat="1" applyFont="1" applyBorder="1"/>
    <xf numFmtId="165" fontId="35" fillId="0" borderId="68" xfId="4" applyNumberFormat="1" applyFont="1" applyBorder="1" applyAlignment="1">
      <alignment horizontal="right"/>
    </xf>
    <xf numFmtId="165" fontId="35" fillId="0" borderId="69" xfId="4" applyNumberFormat="1" applyFont="1" applyBorder="1" applyAlignment="1">
      <alignment horizontal="right"/>
    </xf>
    <xf numFmtId="165" fontId="24" fillId="0" borderId="58" xfId="4" applyNumberFormat="1" applyFont="1" applyBorder="1" applyAlignment="1">
      <alignment horizontal="right" vertical="center"/>
    </xf>
    <xf numFmtId="169" fontId="17" fillId="0" borderId="0" xfId="4" applyNumberFormat="1" applyFont="1"/>
    <xf numFmtId="168" fontId="17" fillId="0" borderId="0" xfId="4" applyNumberFormat="1" applyFont="1"/>
    <xf numFmtId="0" fontId="32" fillId="0" borderId="0" xfId="4" applyFont="1" applyAlignment="1">
      <alignment horizontal="center"/>
    </xf>
    <xf numFmtId="43" fontId="11" fillId="0" borderId="0" xfId="4" applyNumberFormat="1" applyFont="1" applyAlignment="1">
      <alignment vertical="center"/>
    </xf>
    <xf numFmtId="43" fontId="17" fillId="0" borderId="0" xfId="4" applyNumberFormat="1" applyFont="1"/>
    <xf numFmtId="0" fontId="20" fillId="5" borderId="9" xfId="4" applyFont="1" applyFill="1" applyBorder="1" applyAlignment="1">
      <alignment vertical="center" wrapText="1"/>
    </xf>
    <xf numFmtId="165" fontId="11" fillId="4" borderId="38" xfId="4" applyNumberFormat="1" applyFont="1" applyFill="1" applyBorder="1" applyAlignment="1">
      <alignment vertical="center"/>
    </xf>
    <xf numFmtId="165" fontId="11" fillId="4" borderId="36" xfId="4" applyNumberFormat="1" applyFont="1" applyFill="1" applyBorder="1" applyAlignment="1">
      <alignment vertical="center"/>
    </xf>
    <xf numFmtId="169" fontId="11" fillId="11" borderId="36" xfId="4" applyNumberFormat="1" applyFont="1" applyFill="1" applyBorder="1" applyAlignment="1">
      <alignment vertical="center"/>
    </xf>
    <xf numFmtId="165" fontId="11" fillId="10" borderId="37" xfId="4" applyNumberFormat="1" applyFont="1" applyFill="1" applyBorder="1" applyAlignment="1">
      <alignment vertical="center"/>
    </xf>
    <xf numFmtId="0" fontId="11" fillId="8" borderId="70" xfId="4" applyFont="1" applyFill="1" applyBorder="1" applyAlignment="1">
      <alignment vertical="center" wrapText="1"/>
    </xf>
    <xf numFmtId="0" fontId="28" fillId="9" borderId="71" xfId="4" applyFont="1" applyFill="1" applyBorder="1" applyAlignment="1">
      <alignment horizontal="center" vertical="center" wrapText="1"/>
    </xf>
    <xf numFmtId="0" fontId="4" fillId="0" borderId="72" xfId="4" applyFont="1" applyBorder="1" applyAlignment="1">
      <alignment horizontal="center" vertical="center"/>
    </xf>
    <xf numFmtId="165" fontId="11" fillId="4" borderId="35" xfId="4" applyNumberFormat="1" applyFont="1" applyFill="1" applyBorder="1" applyAlignment="1">
      <alignment vertical="center"/>
    </xf>
    <xf numFmtId="0" fontId="14" fillId="0" borderId="0" xfId="3" applyAlignment="1">
      <alignment vertical="center"/>
    </xf>
    <xf numFmtId="0" fontId="37" fillId="0" borderId="0" xfId="4" applyFont="1" applyAlignment="1">
      <alignment vertical="center"/>
    </xf>
    <xf numFmtId="0" fontId="2" fillId="0" borderId="0" xfId="3" applyFont="1">
      <alignment horizontal="left" vertical="center" wrapText="1" indent="1"/>
    </xf>
    <xf numFmtId="0" fontId="20" fillId="5" borderId="73" xfId="4" applyFont="1" applyFill="1" applyBorder="1" applyAlignment="1">
      <alignment vertical="center" wrapText="1"/>
    </xf>
    <xf numFmtId="0" fontId="23" fillId="5" borderId="77" xfId="4" applyFont="1" applyFill="1" applyBorder="1" applyAlignment="1">
      <alignment vertical="center"/>
    </xf>
    <xf numFmtId="0" fontId="23" fillId="5" borderId="77" xfId="4" applyFont="1" applyFill="1" applyBorder="1" applyAlignment="1">
      <alignment horizontal="center" vertical="center" wrapText="1"/>
    </xf>
    <xf numFmtId="0" fontId="20" fillId="0" borderId="0" xfId="4" applyFont="1" applyAlignment="1">
      <alignment vertical="center"/>
    </xf>
    <xf numFmtId="0" fontId="38" fillId="12" borderId="78" xfId="4" applyFont="1" applyFill="1" applyBorder="1" applyAlignment="1">
      <alignment horizontal="center" vertical="center"/>
    </xf>
    <xf numFmtId="0" fontId="38" fillId="12" borderId="79" xfId="4" applyFont="1" applyFill="1" applyBorder="1" applyAlignment="1">
      <alignment horizontal="center" vertical="center" wrapText="1"/>
    </xf>
    <xf numFmtId="0" fontId="38" fillId="12" borderId="78" xfId="4" applyFont="1" applyFill="1" applyBorder="1" applyAlignment="1">
      <alignment horizontal="center" vertical="center" wrapText="1"/>
    </xf>
    <xf numFmtId="0" fontId="38" fillId="12" borderId="80" xfId="4" applyFont="1" applyFill="1" applyBorder="1" applyAlignment="1">
      <alignment horizontal="center" vertical="center" wrapText="1"/>
    </xf>
    <xf numFmtId="0" fontId="38" fillId="13" borderId="78" xfId="4" applyFont="1" applyFill="1" applyBorder="1" applyAlignment="1">
      <alignment horizontal="center" vertical="center" wrapText="1"/>
    </xf>
    <xf numFmtId="0" fontId="38" fillId="12" borderId="28" xfId="4" applyFont="1" applyFill="1" applyBorder="1" applyAlignment="1">
      <alignment horizontal="center" vertical="center" wrapText="1"/>
    </xf>
    <xf numFmtId="0" fontId="38" fillId="13" borderId="26" xfId="4" applyFont="1" applyFill="1" applyBorder="1" applyAlignment="1">
      <alignment horizontal="center" vertical="center" wrapText="1"/>
    </xf>
    <xf numFmtId="0" fontId="20" fillId="0" borderId="81" xfId="4" applyFont="1" applyBorder="1" applyAlignment="1">
      <alignment horizontal="center" vertical="center" wrapText="1"/>
    </xf>
    <xf numFmtId="164" fontId="11" fillId="4" borderId="82" xfId="4" applyNumberFormat="1" applyFont="1" applyFill="1" applyBorder="1"/>
    <xf numFmtId="164" fontId="11" fillId="4" borderId="83" xfId="4" applyNumberFormat="1" applyFont="1" applyFill="1" applyBorder="1"/>
    <xf numFmtId="41" fontId="11" fillId="10" borderId="81" xfId="4" applyNumberFormat="1" applyFont="1" applyFill="1" applyBorder="1"/>
    <xf numFmtId="41" fontId="11" fillId="10" borderId="84" xfId="4" applyNumberFormat="1" applyFont="1" applyFill="1" applyBorder="1"/>
    <xf numFmtId="164" fontId="11" fillId="10" borderId="49" xfId="4" applyNumberFormat="1" applyFont="1" applyFill="1" applyBorder="1" applyAlignment="1">
      <alignment vertical="center"/>
    </xf>
    <xf numFmtId="0" fontId="20" fillId="0" borderId="49" xfId="4" applyFont="1" applyBorder="1" applyAlignment="1">
      <alignment horizontal="center" vertical="center" wrapText="1"/>
    </xf>
    <xf numFmtId="164" fontId="11" fillId="0" borderId="85" xfId="4" applyNumberFormat="1" applyFont="1" applyBorder="1"/>
    <xf numFmtId="164" fontId="11" fillId="0" borderId="86" xfId="4" applyNumberFormat="1" applyFont="1" applyBorder="1"/>
    <xf numFmtId="41" fontId="11" fillId="0" borderId="49" xfId="4" applyNumberFormat="1" applyFont="1" applyBorder="1"/>
    <xf numFmtId="41" fontId="11" fillId="0" borderId="46" xfId="4" applyNumberFormat="1" applyFont="1" applyBorder="1"/>
    <xf numFmtId="41" fontId="11" fillId="0" borderId="47" xfId="4" applyNumberFormat="1" applyFont="1" applyBorder="1"/>
    <xf numFmtId="41" fontId="11" fillId="0" borderId="50" xfId="4" applyNumberFormat="1" applyFont="1" applyBorder="1"/>
    <xf numFmtId="41" fontId="11" fillId="0" borderId="53" xfId="4" applyNumberFormat="1" applyFont="1" applyBorder="1"/>
    <xf numFmtId="41" fontId="11" fillId="0" borderId="48" xfId="4" applyNumberFormat="1" applyFont="1" applyBorder="1"/>
    <xf numFmtId="164" fontId="11" fillId="0" borderId="87" xfId="4" applyNumberFormat="1" applyFont="1" applyBorder="1" applyAlignment="1">
      <alignment vertical="center"/>
    </xf>
    <xf numFmtId="0" fontId="20" fillId="0" borderId="62" xfId="4" applyFont="1" applyBorder="1" applyAlignment="1">
      <alignment horizontal="center" vertical="center" wrapText="1"/>
    </xf>
    <xf numFmtId="41" fontId="11" fillId="0" borderId="88" xfId="4" applyNumberFormat="1" applyFont="1" applyBorder="1"/>
    <xf numFmtId="41" fontId="11" fillId="0" borderId="89" xfId="4" applyNumberFormat="1" applyFont="1" applyBorder="1"/>
    <xf numFmtId="41" fontId="11" fillId="0" borderId="62" xfId="4" applyNumberFormat="1" applyFont="1" applyBorder="1"/>
    <xf numFmtId="41" fontId="11" fillId="0" borderId="59" xfId="4" applyNumberFormat="1" applyFont="1" applyBorder="1"/>
    <xf numFmtId="41" fontId="11" fillId="0" borderId="60" xfId="4" applyNumberFormat="1" applyFont="1" applyBorder="1"/>
    <xf numFmtId="41" fontId="11" fillId="0" borderId="63" xfId="4" applyNumberFormat="1" applyFont="1" applyBorder="1"/>
    <xf numFmtId="41" fontId="11" fillId="0" borderId="90" xfId="4" applyNumberFormat="1" applyFont="1" applyBorder="1"/>
    <xf numFmtId="41" fontId="11" fillId="0" borderId="91" xfId="4" applyNumberFormat="1" applyFont="1" applyBorder="1"/>
    <xf numFmtId="0" fontId="11" fillId="3" borderId="0" xfId="4" applyFont="1" applyFill="1" applyAlignment="1">
      <alignment vertical="center"/>
    </xf>
    <xf numFmtId="41" fontId="5" fillId="0" borderId="0" xfId="4" applyNumberFormat="1" applyAlignment="1">
      <alignment vertical="center"/>
    </xf>
    <xf numFmtId="3" fontId="5" fillId="0" borderId="0" xfId="4" applyNumberFormat="1" applyAlignment="1">
      <alignment vertical="center"/>
    </xf>
    <xf numFmtId="0" fontId="38" fillId="12" borderId="26" xfId="4" applyFont="1" applyFill="1" applyBorder="1" applyAlignment="1">
      <alignment horizontal="center" vertical="center" wrapText="1"/>
    </xf>
    <xf numFmtId="41" fontId="11" fillId="4" borderId="81" xfId="4" applyNumberFormat="1" applyFont="1" applyFill="1" applyBorder="1"/>
    <xf numFmtId="41" fontId="11" fillId="4" borderId="84" xfId="4" applyNumberFormat="1" applyFont="1" applyFill="1" applyBorder="1"/>
    <xf numFmtId="0" fontId="15" fillId="0" borderId="0" xfId="4" applyFont="1" applyAlignment="1">
      <alignment vertical="center"/>
    </xf>
    <xf numFmtId="171" fontId="41" fillId="0" borderId="2" xfId="2" applyNumberFormat="1" applyFont="1" applyBorder="1" applyAlignment="1">
      <alignment vertical="center"/>
    </xf>
    <xf numFmtId="0" fontId="44" fillId="0" borderId="0" xfId="4" applyFont="1" applyAlignment="1">
      <alignment vertical="center"/>
    </xf>
    <xf numFmtId="165" fontId="4" fillId="0" borderId="95" xfId="4" applyNumberFormat="1" applyFont="1" applyBorder="1" applyAlignment="1">
      <alignment horizontal="center" vertical="center"/>
    </xf>
    <xf numFmtId="3" fontId="4" fillId="0" borderId="96" xfId="4" applyNumberFormat="1" applyFont="1" applyBorder="1" applyAlignment="1">
      <alignment horizontal="center" vertical="center"/>
    </xf>
    <xf numFmtId="3" fontId="4" fillId="0" borderId="97" xfId="4" applyNumberFormat="1" applyFont="1" applyBorder="1" applyAlignment="1">
      <alignment horizontal="center" vertical="center"/>
    </xf>
    <xf numFmtId="3" fontId="4" fillId="0" borderId="98" xfId="4" applyNumberFormat="1" applyFont="1" applyBorder="1" applyAlignment="1">
      <alignment horizontal="center" vertical="center"/>
    </xf>
    <xf numFmtId="3" fontId="4" fillId="0" borderId="20" xfId="4" applyNumberFormat="1" applyFont="1" applyBorder="1" applyAlignment="1">
      <alignment horizontal="center" vertical="center"/>
    </xf>
    <xf numFmtId="3" fontId="4" fillId="0" borderId="99" xfId="4" applyNumberFormat="1" applyFont="1" applyBorder="1" applyAlignment="1">
      <alignment horizontal="center" vertical="center"/>
    </xf>
    <xf numFmtId="165" fontId="4" fillId="0" borderId="100" xfId="4" applyNumberFormat="1" applyFont="1" applyBorder="1" applyAlignment="1">
      <alignment horizontal="center" vertical="center"/>
    </xf>
    <xf numFmtId="165" fontId="4" fillId="0" borderId="97" xfId="4" applyNumberFormat="1" applyFont="1" applyBorder="1" applyAlignment="1">
      <alignment horizontal="center" vertical="center"/>
    </xf>
    <xf numFmtId="165" fontId="4" fillId="0" borderId="98" xfId="4" applyNumberFormat="1" applyFont="1" applyBorder="1" applyAlignment="1">
      <alignment horizontal="center" vertical="center"/>
    </xf>
    <xf numFmtId="165" fontId="4" fillId="0" borderId="99" xfId="4" applyNumberFormat="1" applyFont="1" applyBorder="1" applyAlignment="1">
      <alignment horizontal="center" vertical="center"/>
    </xf>
    <xf numFmtId="165" fontId="11" fillId="0" borderId="100" xfId="4" applyNumberFormat="1" applyFont="1" applyBorder="1" applyAlignment="1">
      <alignment vertical="center"/>
    </xf>
    <xf numFmtId="165" fontId="11" fillId="0" borderId="98" xfId="4" applyNumberFormat="1" applyFont="1" applyBorder="1" applyAlignment="1">
      <alignment vertical="center"/>
    </xf>
    <xf numFmtId="3" fontId="4" fillId="0" borderId="101" xfId="4" applyNumberFormat="1" applyFont="1" applyBorder="1" applyAlignment="1">
      <alignment horizontal="center" vertical="center"/>
    </xf>
    <xf numFmtId="3" fontId="4" fillId="0" borderId="102" xfId="4" applyNumberFormat="1" applyFont="1" applyBorder="1" applyAlignment="1">
      <alignment horizontal="center" vertical="center"/>
    </xf>
    <xf numFmtId="3" fontId="4" fillId="0" borderId="100" xfId="4" applyNumberFormat="1" applyFont="1" applyBorder="1" applyAlignment="1">
      <alignment horizontal="center" vertical="center"/>
    </xf>
    <xf numFmtId="3" fontId="11" fillId="0" borderId="98" xfId="4" applyNumberFormat="1" applyFont="1" applyBorder="1" applyAlignment="1">
      <alignment horizontal="center" vertical="center"/>
    </xf>
    <xf numFmtId="165" fontId="4" fillId="0" borderId="101" xfId="4" applyNumberFormat="1" applyFont="1" applyBorder="1" applyAlignment="1">
      <alignment horizontal="center" vertical="center"/>
    </xf>
    <xf numFmtId="165" fontId="4" fillId="0" borderId="103" xfId="4" applyNumberFormat="1" applyFont="1" applyBorder="1" applyAlignment="1">
      <alignment horizontal="center" vertical="center"/>
    </xf>
    <xf numFmtId="165" fontId="4" fillId="0" borderId="104" xfId="4" applyNumberFormat="1" applyFont="1" applyBorder="1" applyAlignment="1">
      <alignment horizontal="center" vertical="center"/>
    </xf>
    <xf numFmtId="165" fontId="4" fillId="0" borderId="96" xfId="4" applyNumberFormat="1" applyFont="1" applyBorder="1" applyAlignment="1">
      <alignment horizontal="center" vertical="center"/>
    </xf>
    <xf numFmtId="165" fontId="33" fillId="0" borderId="97" xfId="4" applyNumberFormat="1" applyFont="1" applyBorder="1" applyAlignment="1">
      <alignment horizontal="right" vertical="center"/>
    </xf>
    <xf numFmtId="165" fontId="24" fillId="0" borderId="98" xfId="4" applyNumberFormat="1" applyFont="1" applyBorder="1" applyAlignment="1">
      <alignment horizontal="right" vertical="center"/>
    </xf>
    <xf numFmtId="165" fontId="24" fillId="0" borderId="105" xfId="4" applyNumberFormat="1" applyFont="1" applyBorder="1" applyAlignment="1">
      <alignment horizontal="right" vertical="center"/>
    </xf>
    <xf numFmtId="165" fontId="34" fillId="0" borderId="102" xfId="4" applyNumberFormat="1" applyFont="1" applyBorder="1" applyAlignment="1">
      <alignment horizontal="right" vertical="center"/>
    </xf>
    <xf numFmtId="165" fontId="4" fillId="0" borderId="2" xfId="4" applyNumberFormat="1" applyFont="1" applyBorder="1" applyAlignment="1">
      <alignment horizontal="center" vertical="center"/>
    </xf>
    <xf numFmtId="3" fontId="4" fillId="0" borderId="2" xfId="4" applyNumberFormat="1" applyFont="1" applyBorder="1" applyAlignment="1">
      <alignment horizontal="center" vertical="center"/>
    </xf>
    <xf numFmtId="165" fontId="11" fillId="0" borderId="2" xfId="4" applyNumberFormat="1" applyFont="1" applyBorder="1" applyAlignment="1">
      <alignment vertical="center"/>
    </xf>
    <xf numFmtId="3" fontId="11" fillId="0" borderId="2" xfId="4" applyNumberFormat="1" applyFont="1" applyBorder="1" applyAlignment="1">
      <alignment horizontal="center" vertical="center"/>
    </xf>
    <xf numFmtId="0" fontId="4" fillId="0" borderId="2" xfId="4" applyFont="1" applyBorder="1" applyAlignment="1">
      <alignment horizontal="center" vertical="center"/>
    </xf>
    <xf numFmtId="165" fontId="33" fillId="0" borderId="2" xfId="4" applyNumberFormat="1" applyFont="1" applyBorder="1" applyAlignment="1">
      <alignment horizontal="right" vertical="center"/>
    </xf>
    <xf numFmtId="165" fontId="24" fillId="0" borderId="2" xfId="4" applyNumberFormat="1" applyFont="1" applyBorder="1" applyAlignment="1">
      <alignment horizontal="right" vertical="center"/>
    </xf>
    <xf numFmtId="165" fontId="34" fillId="0" borderId="2" xfId="4" applyNumberFormat="1" applyFont="1" applyBorder="1" applyAlignment="1">
      <alignment horizontal="right" vertical="center"/>
    </xf>
    <xf numFmtId="0" fontId="48" fillId="0" borderId="0" xfId="3" applyFont="1">
      <alignment horizontal="left" vertical="center" wrapText="1" indent="1"/>
    </xf>
    <xf numFmtId="0" fontId="49" fillId="3" borderId="0" xfId="4" applyFont="1" applyFill="1" applyAlignment="1">
      <alignment vertical="center"/>
    </xf>
    <xf numFmtId="164" fontId="49" fillId="0" borderId="0" xfId="4" applyNumberFormat="1" applyFont="1" applyAlignment="1">
      <alignment vertical="center"/>
    </xf>
    <xf numFmtId="0" fontId="48" fillId="0" borderId="0" xfId="4" applyFont="1" applyAlignment="1">
      <alignment vertical="center"/>
    </xf>
    <xf numFmtId="0" fontId="50" fillId="0" borderId="0" xfId="5" applyFont="1" applyAlignment="1">
      <alignment vertical="center"/>
    </xf>
    <xf numFmtId="165" fontId="49" fillId="0" borderId="2" xfId="4" applyNumberFormat="1" applyFont="1" applyBorder="1"/>
    <xf numFmtId="0" fontId="49" fillId="0" borderId="2" xfId="4" applyFont="1" applyBorder="1"/>
    <xf numFmtId="0" fontId="49" fillId="0" borderId="0" xfId="4" applyFont="1"/>
    <xf numFmtId="0" fontId="51" fillId="0" borderId="0" xfId="4" applyFont="1"/>
    <xf numFmtId="0" fontId="52" fillId="0" borderId="0" xfId="4" applyFont="1"/>
    <xf numFmtId="0" fontId="6" fillId="0" borderId="0" xfId="4" applyFont="1"/>
    <xf numFmtId="165" fontId="6" fillId="0" borderId="0" xfId="4" applyNumberFormat="1" applyFont="1"/>
    <xf numFmtId="0" fontId="53" fillId="0" borderId="0" xfId="4" applyFont="1"/>
    <xf numFmtId="0" fontId="54" fillId="0" borderId="0" xfId="4" applyFont="1"/>
    <xf numFmtId="0" fontId="55" fillId="0" borderId="0" xfId="4" applyFont="1" applyAlignment="1">
      <alignment horizontal="center"/>
    </xf>
    <xf numFmtId="165" fontId="55" fillId="0" borderId="0" xfId="4" applyNumberFormat="1" applyFont="1" applyAlignment="1">
      <alignment horizontal="center"/>
    </xf>
    <xf numFmtId="0" fontId="5" fillId="0" borderId="0" xfId="4" applyAlignment="1">
      <alignment horizontal="left" vertical="center"/>
    </xf>
    <xf numFmtId="0" fontId="40" fillId="0" borderId="2" xfId="4" applyFont="1" applyBorder="1" applyAlignment="1">
      <alignment horizontal="left" vertical="center"/>
    </xf>
    <xf numFmtId="0" fontId="46" fillId="0" borderId="2" xfId="4" applyFont="1" applyBorder="1" applyAlignment="1">
      <alignment horizontal="left" vertical="center" wrapText="1"/>
    </xf>
    <xf numFmtId="0" fontId="46" fillId="0" borderId="2" xfId="4" applyFont="1" applyBorder="1" applyAlignment="1">
      <alignment horizontal="left" vertical="center"/>
    </xf>
    <xf numFmtId="0" fontId="5" fillId="0" borderId="0" xfId="4" applyAlignment="1">
      <alignment horizontal="center" vertical="center"/>
    </xf>
    <xf numFmtId="171" fontId="40" fillId="0" borderId="2" xfId="2" applyNumberFormat="1" applyFont="1" applyBorder="1" applyAlignment="1">
      <alignment horizontal="center" vertical="center"/>
    </xf>
    <xf numFmtId="0" fontId="1" fillId="15" borderId="2" xfId="4" applyFont="1" applyFill="1" applyBorder="1" applyAlignment="1">
      <alignment vertical="center"/>
    </xf>
    <xf numFmtId="0" fontId="1" fillId="14" borderId="2" xfId="4" applyFont="1" applyFill="1" applyBorder="1" applyAlignment="1">
      <alignment horizontal="left" vertical="center"/>
    </xf>
    <xf numFmtId="0" fontId="5" fillId="0" borderId="2" xfId="4" applyBorder="1" applyAlignment="1">
      <alignment horizontal="left" vertical="center" wrapText="1"/>
    </xf>
    <xf numFmtId="0" fontId="39" fillId="0" borderId="2" xfId="4" applyFont="1" applyBorder="1" applyAlignment="1">
      <alignment horizontal="left" vertical="center" wrapText="1"/>
    </xf>
    <xf numFmtId="0" fontId="1" fillId="10" borderId="2" xfId="4" applyFont="1" applyFill="1" applyBorder="1" applyAlignment="1">
      <alignment vertical="center"/>
    </xf>
    <xf numFmtId="0" fontId="1" fillId="10" borderId="2" xfId="4" applyFont="1" applyFill="1" applyBorder="1" applyAlignment="1">
      <alignment horizontal="center" vertical="center"/>
    </xf>
    <xf numFmtId="0" fontId="5" fillId="0" borderId="2" xfId="4" applyBorder="1" applyAlignment="1">
      <alignment horizontal="center" vertical="center"/>
    </xf>
    <xf numFmtId="0" fontId="18" fillId="16" borderId="2" xfId="4" applyFont="1" applyFill="1" applyBorder="1" applyAlignment="1">
      <alignment horizontal="left" vertical="center"/>
    </xf>
    <xf numFmtId="0" fontId="45" fillId="5" borderId="2" xfId="4" applyFont="1" applyFill="1" applyBorder="1" applyAlignment="1">
      <alignment horizontal="center" vertical="center" wrapText="1"/>
    </xf>
    <xf numFmtId="0" fontId="47" fillId="0" borderId="2" xfId="4" applyFont="1" applyBorder="1" applyAlignment="1">
      <alignment vertical="center" wrapText="1"/>
    </xf>
    <xf numFmtId="0" fontId="45" fillId="5" borderId="2" xfId="4" applyFont="1" applyFill="1" applyBorder="1" applyAlignment="1">
      <alignment horizontal="left" vertical="center" wrapText="1"/>
    </xf>
    <xf numFmtId="0" fontId="47" fillId="0" borderId="2" xfId="4" applyFont="1" applyBorder="1" applyAlignment="1">
      <alignment horizontal="left" vertical="center" wrapText="1"/>
    </xf>
    <xf numFmtId="169" fontId="41" fillId="0" borderId="2" xfId="2" applyNumberFormat="1" applyFont="1" applyBorder="1" applyAlignment="1">
      <alignment vertical="center" wrapText="1"/>
    </xf>
    <xf numFmtId="0" fontId="40" fillId="0" borderId="2" xfId="4" applyFont="1" applyBorder="1" applyAlignment="1">
      <alignment horizontal="left" vertical="center" wrapText="1"/>
    </xf>
    <xf numFmtId="166" fontId="44" fillId="0" borderId="2" xfId="4" applyNumberFormat="1" applyFont="1" applyBorder="1" applyAlignment="1">
      <alignment horizontal="center" vertical="center"/>
    </xf>
    <xf numFmtId="0" fontId="18" fillId="4" borderId="2" xfId="4" applyFont="1" applyFill="1" applyBorder="1" applyAlignment="1">
      <alignment vertical="center"/>
    </xf>
    <xf numFmtId="3" fontId="43" fillId="0" borderId="2" xfId="4" applyNumberFormat="1" applyFont="1" applyBorder="1" applyAlignment="1">
      <alignment vertical="center" wrapText="1"/>
    </xf>
    <xf numFmtId="3" fontId="41" fillId="0" borderId="2" xfId="4" applyNumberFormat="1" applyFont="1" applyBorder="1" applyAlignment="1">
      <alignment vertical="center" wrapText="1"/>
    </xf>
    <xf numFmtId="0" fontId="42" fillId="0" borderId="2" xfId="4" applyFont="1" applyBorder="1" applyAlignment="1">
      <alignment vertical="center"/>
    </xf>
    <xf numFmtId="0" fontId="2" fillId="0" borderId="2" xfId="4" applyFont="1" applyBorder="1" applyAlignment="1">
      <alignment vertical="center"/>
    </xf>
    <xf numFmtId="0" fontId="39" fillId="0" borderId="2" xfId="4" applyFont="1" applyBorder="1" applyAlignment="1">
      <alignment vertical="center"/>
    </xf>
    <xf numFmtId="0" fontId="44" fillId="0" borderId="2" xfId="4" applyFont="1" applyBorder="1" applyAlignment="1">
      <alignment vertical="center"/>
    </xf>
    <xf numFmtId="0" fontId="18" fillId="17" borderId="2" xfId="4" applyFont="1" applyFill="1" applyBorder="1" applyAlignment="1">
      <alignment vertical="center"/>
    </xf>
    <xf numFmtId="165" fontId="57" fillId="0" borderId="0" xfId="4" applyNumberFormat="1" applyFont="1"/>
    <xf numFmtId="164" fontId="57" fillId="0" borderId="0" xfId="4" applyNumberFormat="1" applyFont="1"/>
    <xf numFmtId="166" fontId="57" fillId="0" borderId="0" xfId="4" applyNumberFormat="1" applyFont="1"/>
    <xf numFmtId="2" fontId="57" fillId="0" borderId="0" xfId="4" applyNumberFormat="1" applyFont="1"/>
    <xf numFmtId="167" fontId="57" fillId="0" borderId="0" xfId="4" applyNumberFormat="1" applyFont="1"/>
    <xf numFmtId="0" fontId="58" fillId="0" borderId="0" xfId="4" applyFont="1" applyAlignment="1">
      <alignment vertical="center"/>
    </xf>
    <xf numFmtId="0" fontId="57" fillId="0" borderId="106" xfId="4" applyFont="1" applyBorder="1" applyAlignment="1">
      <alignment horizontal="center" vertical="center"/>
    </xf>
    <xf numFmtId="0" fontId="58" fillId="0" borderId="0" xfId="0" applyFont="1"/>
    <xf numFmtId="165" fontId="59" fillId="0" borderId="0" xfId="4" applyNumberFormat="1" applyFont="1" applyAlignment="1">
      <alignment vertical="center"/>
    </xf>
    <xf numFmtId="0" fontId="60" fillId="0" borderId="0" xfId="4" applyFont="1" applyAlignment="1">
      <alignment horizontal="center" vertical="center"/>
    </xf>
    <xf numFmtId="170" fontId="61" fillId="14" borderId="84" xfId="4" applyNumberFormat="1" applyFont="1" applyFill="1" applyBorder="1"/>
    <xf numFmtId="0" fontId="4" fillId="0" borderId="107" xfId="4" applyFont="1" applyBorder="1" applyAlignment="1">
      <alignment horizontal="center" vertical="center"/>
    </xf>
    <xf numFmtId="0" fontId="4" fillId="0" borderId="108" xfId="4" applyFont="1" applyBorder="1" applyAlignment="1">
      <alignment horizontal="center" vertical="center"/>
    </xf>
    <xf numFmtId="0" fontId="4" fillId="0" borderId="109" xfId="4" applyFont="1" applyBorder="1" applyAlignment="1">
      <alignment horizontal="center" vertical="center"/>
    </xf>
    <xf numFmtId="0" fontId="4" fillId="0" borderId="110" xfId="4" applyFont="1" applyBorder="1" applyAlignment="1">
      <alignment horizontal="center" vertical="center"/>
    </xf>
    <xf numFmtId="0" fontId="4" fillId="0" borderId="111" xfId="4" applyFont="1" applyBorder="1" applyAlignment="1">
      <alignment horizontal="center" vertical="center"/>
    </xf>
    <xf numFmtId="0" fontId="4" fillId="0" borderId="112" xfId="4" applyFont="1" applyBorder="1" applyAlignment="1">
      <alignment horizontal="center" vertical="center"/>
    </xf>
    <xf numFmtId="164" fontId="56" fillId="0" borderId="0" xfId="4" applyNumberFormat="1" applyFont="1" applyAlignment="1">
      <alignment vertical="center"/>
    </xf>
    <xf numFmtId="0" fontId="48" fillId="0" borderId="0" xfId="4" applyFont="1" applyAlignment="1">
      <alignment horizontal="center" vertical="center"/>
    </xf>
    <xf numFmtId="0" fontId="50" fillId="0" borderId="0" xfId="5" applyFont="1" applyAlignment="1">
      <alignment horizontal="center" vertical="center"/>
    </xf>
    <xf numFmtId="165" fontId="49" fillId="0" borderId="2" xfId="4" applyNumberFormat="1" applyFont="1" applyBorder="1" applyAlignment="1">
      <alignment horizontal="center" vertical="center"/>
    </xf>
    <xf numFmtId="165" fontId="49" fillId="0" borderId="2" xfId="4" quotePrefix="1" applyNumberFormat="1" applyFont="1" applyBorder="1" applyAlignment="1">
      <alignment horizontal="center" vertical="center"/>
    </xf>
    <xf numFmtId="0" fontId="49" fillId="0" borderId="2" xfId="4" applyFont="1" applyBorder="1" applyAlignment="1">
      <alignment horizontal="center" vertical="center"/>
    </xf>
    <xf numFmtId="0" fontId="49" fillId="0" borderId="0" xfId="4" applyFont="1" applyAlignment="1">
      <alignment horizontal="center" vertical="center"/>
    </xf>
    <xf numFmtId="0" fontId="51" fillId="0" borderId="0" xfId="4" applyFont="1" applyAlignment="1">
      <alignment horizontal="center" vertical="center"/>
    </xf>
    <xf numFmtId="0" fontId="52" fillId="0" borderId="0" xfId="4" applyFont="1" applyAlignment="1">
      <alignment horizontal="center" vertical="center"/>
    </xf>
    <xf numFmtId="168" fontId="40" fillId="0" borderId="2" xfId="1" applyNumberFormat="1" applyFont="1" applyBorder="1" applyAlignment="1">
      <alignment horizontal="right" vertical="center" wrapText="1"/>
    </xf>
    <xf numFmtId="168" fontId="5" fillId="0" borderId="0" xfId="1" applyNumberFormat="1" applyFont="1" applyAlignment="1">
      <alignment horizontal="right" vertical="center"/>
    </xf>
    <xf numFmtId="168" fontId="1" fillId="15" borderId="2" xfId="1" applyNumberFormat="1" applyFont="1" applyFill="1" applyBorder="1" applyAlignment="1">
      <alignment horizontal="right" vertical="center"/>
    </xf>
    <xf numFmtId="168" fontId="5" fillId="0" borderId="2" xfId="1" applyNumberFormat="1" applyFont="1" applyBorder="1" applyAlignment="1">
      <alignment horizontal="right" vertical="center"/>
    </xf>
    <xf numFmtId="168" fontId="14" fillId="0" borderId="2" xfId="1" applyNumberFormat="1" applyBorder="1" applyAlignment="1">
      <alignment horizontal="right" vertical="center"/>
    </xf>
    <xf numFmtId="172" fontId="5" fillId="0" borderId="0" xfId="1" applyNumberFormat="1" applyFont="1" applyAlignment="1">
      <alignment horizontal="center" vertical="center"/>
    </xf>
    <xf numFmtId="172" fontId="1" fillId="14" borderId="2" xfId="1" applyNumberFormat="1" applyFont="1" applyFill="1" applyBorder="1" applyAlignment="1">
      <alignment horizontal="center" vertical="center"/>
    </xf>
    <xf numFmtId="172" fontId="40" fillId="0" borderId="2" xfId="1" applyNumberFormat="1" applyFont="1" applyBorder="1" applyAlignment="1">
      <alignment horizontal="center" vertical="center"/>
    </xf>
    <xf numFmtId="172" fontId="40" fillId="0" borderId="2" xfId="1" applyNumberFormat="1" applyFont="1" applyBorder="1" applyAlignment="1">
      <alignment horizontal="right" vertical="center"/>
    </xf>
    <xf numFmtId="172" fontId="38" fillId="16" borderId="2" xfId="1" applyNumberFormat="1" applyFont="1" applyFill="1" applyBorder="1" applyAlignment="1">
      <alignment horizontal="center" vertical="center" wrapText="1"/>
    </xf>
    <xf numFmtId="172" fontId="46" fillId="0" borderId="2" xfId="1" applyNumberFormat="1" applyFont="1" applyBorder="1" applyAlignment="1">
      <alignment horizontal="center" vertical="center" wrapText="1"/>
    </xf>
    <xf numFmtId="0" fontId="26" fillId="8" borderId="92" xfId="4" applyFont="1" applyFill="1" applyBorder="1" applyAlignment="1">
      <alignment horizontal="center" vertical="center" wrapText="1"/>
    </xf>
    <xf numFmtId="0" fontId="26" fillId="8" borderId="93" xfId="4" applyFont="1" applyFill="1" applyBorder="1" applyAlignment="1">
      <alignment horizontal="center" vertical="center" wrapText="1"/>
    </xf>
    <xf numFmtId="0" fontId="26" fillId="8" borderId="94" xfId="4" applyFont="1" applyFill="1" applyBorder="1" applyAlignment="1">
      <alignment horizontal="center" vertical="center" wrapText="1"/>
    </xf>
    <xf numFmtId="0" fontId="3" fillId="5" borderId="14" xfId="4" applyFont="1" applyFill="1" applyBorder="1" applyAlignment="1">
      <alignment horizontal="center" vertical="center" wrapText="1"/>
    </xf>
    <xf numFmtId="0" fontId="23" fillId="5" borderId="12" xfId="4" applyFont="1" applyFill="1" applyBorder="1" applyAlignment="1">
      <alignment vertical="center" wrapText="1"/>
    </xf>
    <xf numFmtId="0" fontId="23" fillId="5" borderId="13" xfId="4" applyFont="1" applyFill="1" applyBorder="1" applyAlignment="1">
      <alignment vertical="center" wrapText="1"/>
    </xf>
    <xf numFmtId="0" fontId="26" fillId="8" borderId="22" xfId="4" applyFont="1" applyFill="1" applyBorder="1" applyAlignment="1">
      <alignment horizontal="center" vertical="center" wrapText="1"/>
    </xf>
    <xf numFmtId="0" fontId="27" fillId="8" borderId="20" xfId="4" applyFont="1" applyFill="1" applyBorder="1" applyAlignment="1">
      <alignment vertical="center" wrapText="1"/>
    </xf>
    <xf numFmtId="0" fontId="27" fillId="8" borderId="21" xfId="4" applyFont="1" applyFill="1" applyBorder="1" applyAlignment="1">
      <alignment vertical="center" wrapText="1"/>
    </xf>
    <xf numFmtId="0" fontId="22" fillId="5" borderId="12" xfId="4" applyFont="1" applyFill="1" applyBorder="1" applyAlignment="1">
      <alignment vertical="center" wrapText="1"/>
    </xf>
    <xf numFmtId="0" fontId="22" fillId="5" borderId="13" xfId="4" applyFont="1" applyFill="1" applyBorder="1" applyAlignment="1">
      <alignment vertical="center" wrapText="1"/>
    </xf>
    <xf numFmtId="0" fontId="26" fillId="8" borderId="19" xfId="4" applyFont="1" applyFill="1" applyBorder="1" applyAlignment="1">
      <alignment horizontal="center" vertical="center" wrapText="1"/>
    </xf>
    <xf numFmtId="43" fontId="26" fillId="8" borderId="22" xfId="4" applyNumberFormat="1" applyFont="1" applyFill="1" applyBorder="1" applyAlignment="1">
      <alignment horizontal="center" vertical="center" wrapText="1"/>
    </xf>
    <xf numFmtId="0" fontId="21" fillId="5" borderId="11" xfId="4" applyFont="1" applyFill="1" applyBorder="1" applyAlignment="1">
      <alignment horizontal="center" vertical="center" wrapText="1"/>
    </xf>
    <xf numFmtId="0" fontId="36" fillId="12" borderId="0" xfId="4" applyFont="1" applyFill="1" applyAlignment="1">
      <alignment horizontal="center" vertical="center"/>
    </xf>
    <xf numFmtId="0" fontId="20" fillId="5" borderId="74" xfId="4" applyFont="1" applyFill="1" applyBorder="1" applyAlignment="1">
      <alignment horizontal="center" vertical="center" wrapText="1"/>
    </xf>
    <xf numFmtId="0" fontId="20" fillId="5" borderId="75" xfId="4" applyFont="1" applyFill="1" applyBorder="1" applyAlignment="1">
      <alignment horizontal="center" vertical="center" wrapText="1"/>
    </xf>
    <xf numFmtId="0" fontId="20" fillId="5" borderId="76" xfId="4" applyFont="1" applyFill="1" applyBorder="1" applyAlignment="1">
      <alignment horizontal="center" vertical="center" wrapText="1"/>
    </xf>
    <xf numFmtId="0" fontId="20" fillId="5" borderId="73" xfId="4" applyFont="1" applyFill="1" applyBorder="1" applyAlignment="1">
      <alignment horizontal="center" vertical="center"/>
    </xf>
    <xf numFmtId="0" fontId="20" fillId="5" borderId="77" xfId="4" applyFont="1" applyFill="1" applyBorder="1" applyAlignment="1">
      <alignment horizontal="center" vertical="center"/>
    </xf>
    <xf numFmtId="0" fontId="23" fillId="5" borderId="77" xfId="4" applyFont="1" applyFill="1" applyBorder="1" applyAlignment="1">
      <alignment vertical="center"/>
    </xf>
    <xf numFmtId="0" fontId="1" fillId="5" borderId="0" xfId="0" applyFont="1" applyFill="1" applyAlignment="1">
      <alignment horizontal="center"/>
    </xf>
  </cellXfs>
  <cellStyles count="6">
    <cellStyle name="Comma" xfId="1" builtinId="3"/>
    <cellStyle name="Comma 3" xfId="2" xr:uid="{00000000-0005-0000-0000-000001000000}"/>
    <cellStyle name="Normal" xfId="0" builtinId="0"/>
    <cellStyle name="Normal 2" xfId="3" xr:uid="{00000000-0005-0000-0000-000003000000}"/>
    <cellStyle name="Normal 3" xfId="4" xr:uid="{00000000-0005-0000-0000-000004000000}"/>
    <cellStyle name="Title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0</xdr:row>
      <xdr:rowOff>104775</xdr:rowOff>
    </xdr:from>
    <xdr:to>
      <xdr:col>1</xdr:col>
      <xdr:colOff>628650</xdr:colOff>
      <xdr:row>1</xdr:row>
      <xdr:rowOff>323850</xdr:rowOff>
    </xdr:to>
    <xdr:pic>
      <xdr:nvPicPr>
        <xdr:cNvPr id="2" name="Picture 1">
          <a:extLst>
            <a:ext uri="{FF2B5EF4-FFF2-40B4-BE49-F238E27FC236}">
              <a16:creationId xmlns:a16="http://schemas.microsoft.com/office/drawing/2014/main" id="{FB132397-FDBD-437E-BB93-4B7671453D3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tretch/>
      </xdr:blipFill>
      <xdr:spPr>
        <a:xfrm>
          <a:off x="314325" y="104775"/>
          <a:ext cx="495300" cy="3388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276225</xdr:colOff>
      <xdr:row>0</xdr:row>
      <xdr:rowOff>85725</xdr:rowOff>
    </xdr:from>
    <xdr:to>
      <xdr:col>1</xdr:col>
      <xdr:colOff>771525</xdr:colOff>
      <xdr:row>1</xdr:row>
      <xdr:rowOff>314325</xdr:rowOff>
    </xdr:to>
    <xdr:pic>
      <xdr:nvPicPr>
        <xdr:cNvPr id="2" name="Picture 1">
          <a:extLst>
            <a:ext uri="{FF2B5EF4-FFF2-40B4-BE49-F238E27FC236}">
              <a16:creationId xmlns:a16="http://schemas.microsoft.com/office/drawing/2014/main" id="{D6AB0013-163F-424E-9917-478D5F96A5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tretch/>
      </xdr:blipFill>
      <xdr:spPr>
        <a:xfrm>
          <a:off x="466725" y="85725"/>
          <a:ext cx="495300" cy="3388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win\download\Byeco2%20-%20Energy_template%20_0505%20-%2023PM%20-%20V1.1%20(1).xlsx" TargetMode="External"/><Relationship Id="rId1" Type="http://schemas.openxmlformats.org/officeDocument/2006/relationships/externalLinkPath" Target="/win/download/Byeco2%20-%20Energy_template%20_0505%20-%2023PM%20-%20V1.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ctory IDs"/>
      <sheetName val="Energy &amp; Production  "/>
      <sheetName val="Factors"/>
      <sheetName val="Energy n product"/>
      <sheetName val=" Waste"/>
      <sheetName val="Ref tables"/>
      <sheetName val="Water, Wastewater,"/>
      <sheetName val="HVAC"/>
      <sheetName val="Lighting"/>
      <sheetName val="factor"/>
      <sheetName val="Sheet3"/>
      <sheetName val="Boiler &amp; Thermopac "/>
      <sheetName val="Air compressor"/>
      <sheetName val="Fan Pump"/>
      <sheetName val="Machine List"/>
      <sheetName val="sp-unit"/>
      <sheetName val="refer"/>
      <sheetName val="Transformer"/>
      <sheetName val="Selection"/>
      <sheetName val="Meters List"/>
      <sheetName val="investment plan"/>
      <sheetName val="Supporting docu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persons/person.xml><?xml version="1.0" encoding="utf-8"?>
<personList xmlns="http://schemas.microsoft.com/office/spreadsheetml/2018/threadedcomments" xmlns:x="http://schemas.openxmlformats.org/spreadsheetml/2006/main">
  <person displayName="Thang, Tran Quoc" id="{FCE1234B-AB73-4664-8B92-B05216C9CD42}" userId="S-1-5-21-1507531483-1257717219-1307212239-74327" providerId="AD"/>
  <person displayName="Hiep Tran" id="{1464635C-E8EB-42E9-8FD0-A6FB80D6E8E4}" userId="S::Hiep_Tran@vfc.com::2afa01d1-a51f-41dd-8538-495595ba44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8" dT="2023-04-29T08:21:52.69" personId="{1464635C-E8EB-42E9-8FD0-A6FB80D6E8E4}" id="{7C0F065B-055C-4125-BD49-84CA8D3AA286}">
    <text>Cố định hệ số điện 3.6</text>
  </threadedComment>
  <threadedComment ref="G8" dT="2023-04-27T14:06:51.64" personId="{1464635C-E8EB-42E9-8FD0-A6FB80D6E8E4}" id="{4C5D03A2-2F0A-41B8-89BE-1CA714AA2900}">
    <text>= E*0.722</text>
  </threadedComment>
  <threadedComment ref="G8" dT="2023-04-29T08:24:03.85" personId="{1464635C-E8EB-42E9-8FD0-A6FB80D6E8E4}" id="{130068DE-5EE1-4748-A25C-108AB4A4D1E4}" parentId="{4C5D03A2-2F0A-41B8-89BE-1CA714AA2900}">
    <text>Thắng tạo bảng định nghĩa update hệ số theo từng năm</text>
  </threadedComment>
  <threadedComment ref="I8" dT="2023-04-29T08:24:36.27" personId="{1464635C-E8EB-42E9-8FD0-A6FB80D6E8E4}" id="{910D7DA5-6654-4A8C-B47F-8B7D527C07E8}">
    <text>Cố định hệ số điện 3.6</text>
  </threadedComment>
  <threadedComment ref="J8" dT="2023-04-27T14:06:51.64" personId="{1464635C-E8EB-42E9-8FD0-A6FB80D6E8E4}" id="{3E579550-2BCA-45E7-B9F8-5AB96BC054C4}">
    <text>= E*0.722</text>
  </threadedComment>
  <threadedComment ref="J8" dT="2023-04-29T08:24:03.85" personId="{1464635C-E8EB-42E9-8FD0-A6FB80D6E8E4}" id="{C14FED3C-0061-4E4E-9E6C-C2D27A70B4E5}" parentId="{3E579550-2BCA-45E7-B9F8-5AB96BC054C4}">
    <text>Thắng tạo bảng định nghĩa update hệ số theo từng năm</text>
  </threadedComment>
  <threadedComment ref="AY12" dT="2023-05-17T16:48:41.60" personId="{FCE1234B-AB73-4664-8B92-B05216C9CD42}" id="{E69C5306-295C-46E7-AA3E-7C6418225DFF}">
    <text>Update ngày 15/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D9AC-08EF-4801-8A3E-39040C9A2988}">
  <sheetPr>
    <tabColor rgb="FF00B0F0"/>
  </sheetPr>
  <dimension ref="A1:BK957"/>
  <sheetViews>
    <sheetView showGridLines="0" topLeftCell="A85" zoomScale="85" zoomScaleNormal="85" workbookViewId="0">
      <selection activeCell="E87" sqref="E87"/>
    </sheetView>
  </sheetViews>
  <sheetFormatPr defaultColWidth="14.453125" defaultRowHeight="15" customHeight="1"/>
  <cols>
    <col min="1" max="1" width="2.7265625" style="23" customWidth="1"/>
    <col min="2" max="2" width="12.7265625" style="23" customWidth="1"/>
    <col min="3" max="4" width="15.7265625" style="23" customWidth="1"/>
    <col min="5" max="5" width="29.453125" style="23" bestFit="1" customWidth="1"/>
    <col min="6" max="6" width="16.1796875" style="23" customWidth="1"/>
    <col min="7" max="46" width="15.7265625" style="23" customWidth="1"/>
    <col min="47" max="47" width="16.90625" style="23" bestFit="1" customWidth="1"/>
    <col min="48" max="52" width="15.7265625" style="23" customWidth="1"/>
    <col min="53" max="53" width="9.1796875" style="23" customWidth="1"/>
    <col min="54" max="54" width="12.81640625" style="23" customWidth="1"/>
    <col min="55" max="55" width="11.81640625" style="23" customWidth="1"/>
    <col min="56" max="56" width="10.1796875" style="23" customWidth="1"/>
    <col min="57" max="58" width="8.7265625" style="23" customWidth="1"/>
    <col min="59" max="59" width="11.1796875" style="23" customWidth="1"/>
    <col min="60" max="60" width="9.26953125" style="23" customWidth="1"/>
    <col min="61" max="61" width="8.453125" style="23" customWidth="1"/>
    <col min="62" max="62" width="10.1796875" style="23" customWidth="1"/>
    <col min="63" max="63" width="13.7265625" style="23" customWidth="1"/>
    <col min="64" max="64" width="14.453125" style="23" customWidth="1"/>
    <col min="65" max="16384" width="14.453125" style="23"/>
  </cols>
  <sheetData>
    <row r="1" spans="1:63" s="1" customFormat="1" ht="9" customHeight="1"/>
    <row r="2" spans="1:63" s="298" customFormat="1" ht="30" customHeight="1">
      <c r="B2" s="299"/>
      <c r="C2" s="300">
        <v>122</v>
      </c>
      <c r="D2" s="300">
        <v>8</v>
      </c>
      <c r="E2" s="301">
        <v>9</v>
      </c>
      <c r="F2" s="300">
        <v>10</v>
      </c>
      <c r="G2" s="302">
        <v>11</v>
      </c>
      <c r="H2" s="302">
        <v>12</v>
      </c>
      <c r="I2" s="302">
        <v>120</v>
      </c>
      <c r="J2" s="302">
        <v>121</v>
      </c>
      <c r="K2" s="302">
        <v>13</v>
      </c>
      <c r="L2" s="302">
        <v>14</v>
      </c>
      <c r="M2" s="302">
        <v>15</v>
      </c>
      <c r="N2" s="302">
        <v>16</v>
      </c>
      <c r="O2" s="302">
        <v>17</v>
      </c>
      <c r="P2" s="302">
        <v>18</v>
      </c>
      <c r="Q2" s="302">
        <v>20</v>
      </c>
      <c r="R2" s="302">
        <v>19</v>
      </c>
      <c r="S2" s="302">
        <v>21</v>
      </c>
      <c r="T2" s="302">
        <v>22</v>
      </c>
      <c r="U2" s="302">
        <v>23</v>
      </c>
      <c r="V2" s="302">
        <v>24</v>
      </c>
      <c r="W2" s="302">
        <v>25</v>
      </c>
      <c r="X2" s="302">
        <v>26</v>
      </c>
      <c r="Y2" s="302">
        <v>27</v>
      </c>
      <c r="Z2" s="302">
        <v>28</v>
      </c>
      <c r="AA2" s="302">
        <v>29</v>
      </c>
      <c r="AB2" s="302">
        <v>30</v>
      </c>
      <c r="AC2" s="302">
        <v>31</v>
      </c>
      <c r="AD2" s="302">
        <v>32</v>
      </c>
      <c r="AE2" s="302">
        <v>33</v>
      </c>
      <c r="AF2" s="302">
        <v>34</v>
      </c>
      <c r="AG2" s="302">
        <v>35</v>
      </c>
      <c r="AH2" s="302">
        <v>36</v>
      </c>
      <c r="AI2" s="302">
        <v>37</v>
      </c>
      <c r="AJ2" s="302">
        <v>38</v>
      </c>
      <c r="AK2" s="302">
        <v>39</v>
      </c>
      <c r="AL2" s="302">
        <v>40</v>
      </c>
      <c r="AM2" s="302">
        <v>41</v>
      </c>
      <c r="AN2" s="302">
        <v>42</v>
      </c>
      <c r="AO2" s="302">
        <v>43</v>
      </c>
      <c r="AP2" s="302">
        <v>44</v>
      </c>
      <c r="AQ2" s="302">
        <v>59</v>
      </c>
      <c r="AR2" s="302">
        <v>60</v>
      </c>
      <c r="AS2" s="302">
        <v>61</v>
      </c>
      <c r="AT2" s="302">
        <v>62</v>
      </c>
      <c r="AU2" s="302">
        <v>63</v>
      </c>
      <c r="AV2" s="302">
        <v>58</v>
      </c>
      <c r="AW2" s="302">
        <v>64</v>
      </c>
      <c r="AX2" s="302">
        <v>65</v>
      </c>
      <c r="AY2" s="302">
        <v>66</v>
      </c>
      <c r="AZ2" s="302">
        <v>67</v>
      </c>
      <c r="BA2" s="303"/>
      <c r="BB2" s="304"/>
      <c r="BC2" s="304"/>
      <c r="BD2" s="304"/>
      <c r="BE2" s="304"/>
      <c r="BF2" s="304"/>
      <c r="BG2" s="304"/>
      <c r="BH2" s="304"/>
      <c r="BI2" s="304"/>
      <c r="BJ2" s="304"/>
      <c r="BK2" s="305"/>
    </row>
    <row r="3" spans="1:63" s="1" customFormat="1" ht="5.25" customHeight="1">
      <c r="A3" s="28"/>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row>
    <row r="4" spans="1:63" ht="5.25" customHeight="1"/>
    <row r="5" spans="1:63" ht="30" customHeight="1">
      <c r="A5" s="28"/>
      <c r="B5" s="30" t="s">
        <v>0</v>
      </c>
      <c r="C5" s="31" t="s">
        <v>1</v>
      </c>
      <c r="D5" s="330" t="s">
        <v>2</v>
      </c>
      <c r="E5" s="326"/>
      <c r="F5" s="326"/>
      <c r="G5" s="326"/>
      <c r="H5" s="326"/>
      <c r="I5" s="326"/>
      <c r="J5" s="326"/>
      <c r="K5" s="326"/>
      <c r="L5" s="326"/>
      <c r="M5" s="326"/>
      <c r="N5" s="326"/>
      <c r="O5" s="326"/>
      <c r="P5" s="326"/>
      <c r="Q5" s="326"/>
      <c r="R5" s="327"/>
      <c r="S5" s="320" t="s">
        <v>3</v>
      </c>
      <c r="T5" s="321"/>
      <c r="U5" s="321"/>
      <c r="V5" s="322"/>
      <c r="W5" s="320" t="s">
        <v>4</v>
      </c>
      <c r="X5" s="321"/>
      <c r="Y5" s="321"/>
      <c r="Z5" s="322"/>
      <c r="AA5" s="320" t="s">
        <v>5</v>
      </c>
      <c r="AB5" s="321"/>
      <c r="AC5" s="321"/>
      <c r="AD5" s="322"/>
      <c r="AE5" s="320" t="s">
        <v>6</v>
      </c>
      <c r="AF5" s="321"/>
      <c r="AG5" s="321"/>
      <c r="AH5" s="322"/>
      <c r="AI5" s="320" t="s">
        <v>7</v>
      </c>
      <c r="AJ5" s="321"/>
      <c r="AK5" s="321"/>
      <c r="AL5" s="322"/>
      <c r="AM5" s="320" t="s">
        <v>8</v>
      </c>
      <c r="AN5" s="321"/>
      <c r="AO5" s="321"/>
      <c r="AP5" s="322"/>
      <c r="AQ5" s="32" t="s">
        <v>9</v>
      </c>
      <c r="AR5" s="33" t="s">
        <v>10</v>
      </c>
      <c r="AS5" s="33" t="s">
        <v>11</v>
      </c>
      <c r="AT5" s="33" t="s">
        <v>12</v>
      </c>
      <c r="AU5" s="33" t="s">
        <v>13</v>
      </c>
      <c r="AV5" s="34" t="s">
        <v>14</v>
      </c>
      <c r="AW5" s="320" t="s">
        <v>15</v>
      </c>
      <c r="AX5" s="321"/>
      <c r="AY5" s="322"/>
      <c r="AZ5" s="33"/>
      <c r="BA5" s="35"/>
      <c r="BB5" s="26"/>
      <c r="BC5" s="26"/>
      <c r="BD5" s="26"/>
      <c r="BE5" s="26"/>
      <c r="BF5" s="26"/>
      <c r="BG5" s="26"/>
      <c r="BH5" s="26"/>
      <c r="BI5" s="26"/>
      <c r="BJ5" s="26"/>
      <c r="BK5" s="36"/>
    </row>
    <row r="6" spans="1:63" ht="21" customHeight="1">
      <c r="B6" s="37"/>
      <c r="C6" s="38" t="s">
        <v>1</v>
      </c>
      <c r="D6" s="328" t="s">
        <v>16</v>
      </c>
      <c r="E6" s="324"/>
      <c r="F6" s="324"/>
      <c r="G6" s="325"/>
      <c r="H6" s="323" t="s">
        <v>16</v>
      </c>
      <c r="I6" s="328"/>
      <c r="J6" s="328"/>
      <c r="K6" s="324"/>
      <c r="L6" s="324"/>
      <c r="M6" s="325"/>
      <c r="N6" s="323" t="s">
        <v>17</v>
      </c>
      <c r="O6" s="324"/>
      <c r="P6" s="324"/>
      <c r="Q6" s="324"/>
      <c r="R6" s="325"/>
      <c r="S6" s="323" t="s">
        <v>17</v>
      </c>
      <c r="T6" s="324"/>
      <c r="U6" s="324"/>
      <c r="V6" s="325"/>
      <c r="W6" s="40"/>
      <c r="X6" s="39"/>
      <c r="Y6" s="41"/>
      <c r="Z6" s="42"/>
      <c r="AA6" s="323" t="s">
        <v>17</v>
      </c>
      <c r="AB6" s="324"/>
      <c r="AC6" s="324"/>
      <c r="AD6" s="325"/>
      <c r="AE6" s="329" t="s">
        <v>17</v>
      </c>
      <c r="AF6" s="324"/>
      <c r="AG6" s="324"/>
      <c r="AH6" s="325"/>
      <c r="AI6" s="323" t="s">
        <v>17</v>
      </c>
      <c r="AJ6" s="324"/>
      <c r="AK6" s="324"/>
      <c r="AL6" s="325"/>
      <c r="AM6" s="323" t="s">
        <v>17</v>
      </c>
      <c r="AN6" s="324"/>
      <c r="AO6" s="324"/>
      <c r="AP6" s="325"/>
      <c r="AQ6" s="40"/>
      <c r="AR6" s="39"/>
      <c r="AS6" s="39"/>
      <c r="AT6" s="39"/>
      <c r="AU6" s="43" t="s">
        <v>18</v>
      </c>
      <c r="AV6" s="44" t="s">
        <v>14</v>
      </c>
      <c r="AW6" s="317" t="s">
        <v>19</v>
      </c>
      <c r="AX6" s="318"/>
      <c r="AY6" s="318"/>
      <c r="AZ6" s="319"/>
      <c r="BA6" s="35"/>
      <c r="BB6" s="26"/>
      <c r="BC6" s="26"/>
      <c r="BD6" s="26"/>
      <c r="BE6" s="26"/>
      <c r="BF6" s="26"/>
      <c r="BG6" s="26"/>
      <c r="BH6" s="26"/>
      <c r="BI6" s="26"/>
      <c r="BJ6" s="26"/>
      <c r="BK6" s="36"/>
    </row>
    <row r="7" spans="1:63" ht="74.5" customHeight="1">
      <c r="B7" s="45" t="s">
        <v>20</v>
      </c>
      <c r="C7" s="46" t="s">
        <v>21</v>
      </c>
      <c r="D7" s="45" t="s">
        <v>22</v>
      </c>
      <c r="E7" s="47" t="s">
        <v>23</v>
      </c>
      <c r="F7" s="47" t="s">
        <v>24</v>
      </c>
      <c r="G7" s="46" t="s">
        <v>25</v>
      </c>
      <c r="H7" s="48" t="s">
        <v>26</v>
      </c>
      <c r="I7" s="47" t="s">
        <v>24</v>
      </c>
      <c r="J7" s="49" t="s">
        <v>27</v>
      </c>
      <c r="K7" s="50" t="s">
        <v>28</v>
      </c>
      <c r="L7" s="50" t="s">
        <v>29</v>
      </c>
      <c r="M7" s="51" t="s">
        <v>30</v>
      </c>
      <c r="N7" s="52" t="s">
        <v>31</v>
      </c>
      <c r="O7" s="53" t="s">
        <v>32</v>
      </c>
      <c r="P7" s="53" t="s">
        <v>33</v>
      </c>
      <c r="Q7" s="54" t="s">
        <v>24</v>
      </c>
      <c r="R7" s="55" t="s">
        <v>25</v>
      </c>
      <c r="S7" s="52" t="s">
        <v>34</v>
      </c>
      <c r="T7" s="53" t="s">
        <v>35</v>
      </c>
      <c r="U7" s="53" t="s">
        <v>24</v>
      </c>
      <c r="V7" s="56" t="s">
        <v>25</v>
      </c>
      <c r="W7" s="52" t="s">
        <v>36</v>
      </c>
      <c r="X7" s="53" t="s">
        <v>37</v>
      </c>
      <c r="Y7" s="53" t="s">
        <v>24</v>
      </c>
      <c r="Z7" s="56" t="s">
        <v>25</v>
      </c>
      <c r="AA7" s="52" t="s">
        <v>38</v>
      </c>
      <c r="AB7" s="53" t="s">
        <v>39</v>
      </c>
      <c r="AC7" s="53" t="s">
        <v>24</v>
      </c>
      <c r="AD7" s="56" t="s">
        <v>25</v>
      </c>
      <c r="AE7" s="52" t="s">
        <v>40</v>
      </c>
      <c r="AF7" s="53" t="s">
        <v>41</v>
      </c>
      <c r="AG7" s="53" t="s">
        <v>24</v>
      </c>
      <c r="AH7" s="56" t="s">
        <v>25</v>
      </c>
      <c r="AI7" s="52" t="s">
        <v>42</v>
      </c>
      <c r="AJ7" s="53" t="s">
        <v>43</v>
      </c>
      <c r="AK7" s="53" t="s">
        <v>24</v>
      </c>
      <c r="AL7" s="56" t="s">
        <v>25</v>
      </c>
      <c r="AM7" s="52" t="s">
        <v>44</v>
      </c>
      <c r="AN7" s="53" t="s">
        <v>45</v>
      </c>
      <c r="AO7" s="53" t="s">
        <v>24</v>
      </c>
      <c r="AP7" s="54" t="s">
        <v>25</v>
      </c>
      <c r="AQ7" s="57" t="s">
        <v>46</v>
      </c>
      <c r="AR7" s="58" t="s">
        <v>47</v>
      </c>
      <c r="AS7" s="58" t="s">
        <v>25</v>
      </c>
      <c r="AT7" s="58" t="s">
        <v>25</v>
      </c>
      <c r="AU7" s="58" t="s">
        <v>25</v>
      </c>
      <c r="AV7" s="59" t="s">
        <v>27</v>
      </c>
      <c r="AW7" s="55" t="s">
        <v>48</v>
      </c>
      <c r="AX7" s="53" t="s">
        <v>49</v>
      </c>
      <c r="AY7" s="56" t="s">
        <v>50</v>
      </c>
      <c r="AZ7" s="60" t="s">
        <v>51</v>
      </c>
      <c r="BA7" s="61"/>
      <c r="BB7" s="26"/>
      <c r="BC7" s="26"/>
      <c r="BD7" s="26"/>
      <c r="BE7" s="26"/>
      <c r="BF7" s="26"/>
      <c r="BG7" s="26"/>
      <c r="BH7" s="26"/>
      <c r="BI7" s="26"/>
      <c r="BJ7" s="26"/>
      <c r="BK7" s="62"/>
    </row>
    <row r="8" spans="1:63" ht="16" customHeight="1">
      <c r="B8" s="63">
        <v>1</v>
      </c>
      <c r="C8" s="64"/>
      <c r="D8" s="65"/>
      <c r="E8" s="66"/>
      <c r="F8" s="67">
        <f>D8*3.6</f>
        <v>0</v>
      </c>
      <c r="G8" s="68">
        <f>D8*0.7221</f>
        <v>0</v>
      </c>
      <c r="H8" s="69"/>
      <c r="I8" s="67">
        <f>H8*3.6</f>
        <v>0</v>
      </c>
      <c r="J8" s="68">
        <f>H8*0.7221</f>
        <v>0</v>
      </c>
      <c r="K8" s="70"/>
      <c r="L8" s="70"/>
      <c r="M8" s="71"/>
      <c r="N8" s="72">
        <f>C22</f>
        <v>0</v>
      </c>
      <c r="O8" s="73">
        <f>D22</f>
        <v>0</v>
      </c>
      <c r="P8" s="73">
        <f>E22</f>
        <v>0</v>
      </c>
      <c r="Q8" s="74">
        <f>I22</f>
        <v>0</v>
      </c>
      <c r="R8" s="75">
        <f>J22</f>
        <v>0</v>
      </c>
      <c r="S8" s="73">
        <f>C35</f>
        <v>0</v>
      </c>
      <c r="T8" s="73">
        <f>D35</f>
        <v>0</v>
      </c>
      <c r="U8" s="67">
        <f>H35</f>
        <v>0</v>
      </c>
      <c r="V8" s="68">
        <f>I35</f>
        <v>0</v>
      </c>
      <c r="W8" s="73">
        <f>C52</f>
        <v>0</v>
      </c>
      <c r="X8" s="73">
        <f>D52</f>
        <v>0</v>
      </c>
      <c r="Y8" s="76">
        <f>H52</f>
        <v>0</v>
      </c>
      <c r="Z8" s="77">
        <f>I52</f>
        <v>0</v>
      </c>
      <c r="AA8" s="73">
        <f>C67</f>
        <v>0</v>
      </c>
      <c r="AB8" s="73">
        <f>D67</f>
        <v>0</v>
      </c>
      <c r="AC8" s="76">
        <f>H67</f>
        <v>0</v>
      </c>
      <c r="AD8" s="77">
        <f>I67</f>
        <v>0</v>
      </c>
      <c r="AE8" s="78"/>
      <c r="AF8" s="79"/>
      <c r="AG8" s="77">
        <f>AE8*36.8</f>
        <v>0</v>
      </c>
      <c r="AH8" s="77">
        <f>AE8*2.7</f>
        <v>0</v>
      </c>
      <c r="AI8" s="78"/>
      <c r="AJ8" s="79"/>
      <c r="AK8" s="77">
        <f>AI8*36.8</f>
        <v>0</v>
      </c>
      <c r="AL8" s="77">
        <f>AI8*2.7</f>
        <v>0</v>
      </c>
      <c r="AM8" s="80">
        <f>C82</f>
        <v>0</v>
      </c>
      <c r="AN8" s="80">
        <f>D82</f>
        <v>0</v>
      </c>
      <c r="AO8" s="68">
        <f>H82</f>
        <v>0</v>
      </c>
      <c r="AP8" s="81">
        <f>I82</f>
        <v>0</v>
      </c>
      <c r="AQ8" s="82">
        <f>E8+K8+O8+T8+X8+AB8+AF8+AJ8+AN8</f>
        <v>0</v>
      </c>
      <c r="AR8" s="83">
        <f>AO8+AK8+AG8+AC8+Y8+U8+R8+F8</f>
        <v>0</v>
      </c>
      <c r="AS8" s="84">
        <f>R8+V8+AD8+AH8+AL8+AP8</f>
        <v>0</v>
      </c>
      <c r="AT8" s="84">
        <f>G8</f>
        <v>0</v>
      </c>
      <c r="AU8" s="84">
        <f>Waste!Q9</f>
        <v>0</v>
      </c>
      <c r="AV8" s="85"/>
      <c r="AW8" s="84">
        <f>IFERROR(AR8/C8,0)</f>
        <v>0</v>
      </c>
      <c r="AX8" s="84">
        <f>IFERROR(AQ8/C8,0)</f>
        <v>0</v>
      </c>
      <c r="AY8" s="84">
        <f>IFERROR((AS8+AT8)/C8,0)</f>
        <v>0</v>
      </c>
      <c r="AZ8" s="84">
        <f>AR8/41868</f>
        <v>0</v>
      </c>
      <c r="BA8" s="86"/>
      <c r="BB8" s="87"/>
      <c r="BC8" s="88"/>
      <c r="BD8" s="89"/>
      <c r="BE8" s="89"/>
      <c r="BF8" s="89"/>
      <c r="BG8" s="90"/>
      <c r="BH8" s="90"/>
      <c r="BI8" s="91"/>
      <c r="BJ8" s="89"/>
      <c r="BK8" s="92"/>
    </row>
    <row r="9" spans="1:63" ht="16" customHeight="1">
      <c r="B9" s="93"/>
      <c r="BA9" s="86"/>
      <c r="BB9" s="87"/>
      <c r="BC9" s="88"/>
      <c r="BD9" s="89"/>
      <c r="BE9" s="89"/>
      <c r="BF9" s="89"/>
      <c r="BG9" s="90"/>
      <c r="BH9" s="90"/>
      <c r="BI9" s="91"/>
      <c r="BJ9" s="89"/>
      <c r="BK9" s="92"/>
    </row>
    <row r="10" spans="1:63" ht="16" customHeight="1">
      <c r="B10" s="203"/>
      <c r="C10" s="204"/>
      <c r="D10" s="205"/>
      <c r="E10" s="206"/>
      <c r="F10" s="207"/>
      <c r="G10" s="208"/>
      <c r="H10" s="209"/>
      <c r="I10" s="210"/>
      <c r="J10" s="210"/>
      <c r="K10" s="211"/>
      <c r="L10" s="211"/>
      <c r="M10" s="212"/>
      <c r="N10" s="213"/>
      <c r="O10" s="214"/>
      <c r="P10" s="214"/>
      <c r="Q10" s="215"/>
      <c r="R10" s="216"/>
      <c r="S10" s="217"/>
      <c r="T10" s="206"/>
      <c r="U10" s="206"/>
      <c r="V10" s="208"/>
      <c r="W10" s="213"/>
      <c r="X10" s="211"/>
      <c r="Y10" s="211"/>
      <c r="Z10" s="212"/>
      <c r="AA10" s="209"/>
      <c r="AB10" s="214"/>
      <c r="AC10" s="211"/>
      <c r="AD10" s="211"/>
      <c r="AE10" s="217"/>
      <c r="AF10" s="218"/>
      <c r="AG10" s="211"/>
      <c r="AH10" s="211"/>
      <c r="AI10" s="217"/>
      <c r="AJ10" s="218"/>
      <c r="AK10" s="211"/>
      <c r="AL10" s="211"/>
      <c r="AM10" s="217"/>
      <c r="AN10" s="206"/>
      <c r="AO10" s="211"/>
      <c r="AP10" s="219"/>
      <c r="AQ10" s="220"/>
      <c r="AR10" s="221"/>
      <c r="AS10" s="221"/>
      <c r="AT10" s="221"/>
      <c r="AU10" s="221"/>
      <c r="AV10" s="222"/>
      <c r="AW10" s="223"/>
      <c r="AX10" s="224"/>
      <c r="AY10" s="225"/>
      <c r="AZ10" s="226"/>
      <c r="BA10" s="86"/>
      <c r="BB10" s="87"/>
      <c r="BC10" s="88"/>
      <c r="BD10" s="89"/>
      <c r="BE10" s="89"/>
      <c r="BF10" s="89"/>
      <c r="BG10" s="90"/>
      <c r="BH10" s="90"/>
      <c r="BI10" s="91"/>
      <c r="BJ10" s="89"/>
      <c r="BK10" s="92"/>
    </row>
    <row r="11" spans="1:63" ht="16" customHeight="1">
      <c r="B11" s="227"/>
      <c r="C11" s="228"/>
      <c r="D11" s="228"/>
      <c r="E11" s="228"/>
      <c r="F11" s="228"/>
      <c r="G11" s="228"/>
      <c r="H11" s="227"/>
      <c r="I11" s="228"/>
      <c r="J11" s="228"/>
      <c r="K11" s="227"/>
      <c r="L11" s="227"/>
      <c r="M11" s="227"/>
      <c r="N11" s="229"/>
      <c r="O11" s="229"/>
      <c r="P11" s="229"/>
      <c r="Q11" s="228"/>
      <c r="R11" s="228"/>
      <c r="S11" s="228"/>
      <c r="T11" s="228"/>
      <c r="U11" s="228"/>
      <c r="V11" s="228"/>
      <c r="W11" s="229"/>
      <c r="X11" s="229"/>
      <c r="Y11" s="229"/>
      <c r="Z11" s="229"/>
      <c r="AA11" s="227"/>
      <c r="AB11" s="229"/>
      <c r="AC11" s="227"/>
      <c r="AD11" s="227"/>
      <c r="AE11" s="228"/>
      <c r="AF11" s="230"/>
      <c r="AG11" s="231"/>
      <c r="AH11" s="227"/>
      <c r="AI11" s="228"/>
      <c r="AJ11" s="230"/>
      <c r="AK11" s="227"/>
      <c r="AL11" s="227"/>
      <c r="AM11" s="228"/>
      <c r="AN11" s="228"/>
      <c r="AO11" s="228"/>
      <c r="AP11" s="228"/>
      <c r="AQ11" s="227"/>
      <c r="AR11" s="227"/>
      <c r="AS11" s="227"/>
      <c r="AT11" s="227"/>
      <c r="AU11" s="227"/>
      <c r="AV11" s="227"/>
      <c r="AW11" s="232"/>
      <c r="AX11" s="233"/>
      <c r="AY11" s="233"/>
      <c r="AZ11" s="234"/>
      <c r="BA11" s="86"/>
      <c r="BB11" s="87"/>
      <c r="BC11" s="88"/>
      <c r="BD11" s="89"/>
      <c r="BE11" s="89"/>
      <c r="BF11" s="89"/>
      <c r="BG11" s="90"/>
      <c r="BH11" s="90"/>
      <c r="BI11" s="91"/>
      <c r="BJ11" s="89"/>
      <c r="BK11" s="92"/>
    </row>
    <row r="12" spans="1:63" s="285" customFormat="1" ht="16" customHeight="1">
      <c r="B12" s="286"/>
      <c r="C12" s="287"/>
      <c r="D12" s="287"/>
      <c r="E12" s="287"/>
      <c r="F12" s="287"/>
      <c r="G12" s="287"/>
      <c r="H12" s="287"/>
      <c r="I12" s="287"/>
      <c r="J12" s="287"/>
      <c r="K12" s="287"/>
      <c r="L12" s="287"/>
      <c r="M12" s="287"/>
      <c r="N12" s="287"/>
      <c r="O12" s="287"/>
      <c r="P12" s="287"/>
      <c r="Q12" s="287"/>
      <c r="R12" s="287"/>
      <c r="S12" s="287"/>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7"/>
      <c r="AU12" s="287"/>
      <c r="AV12" s="287"/>
      <c r="AW12" s="287"/>
      <c r="AX12" s="287"/>
      <c r="AY12" s="287"/>
      <c r="AZ12" s="287"/>
      <c r="BA12" s="288"/>
      <c r="BB12" s="280"/>
      <c r="BC12" s="281"/>
      <c r="BD12" s="282"/>
      <c r="BE12" s="282"/>
      <c r="BF12" s="282"/>
      <c r="BG12" s="283"/>
      <c r="BH12" s="283"/>
      <c r="BI12" s="284"/>
      <c r="BJ12" s="282"/>
      <c r="BK12" s="289"/>
    </row>
    <row r="13" spans="1:63" ht="16" customHeight="1">
      <c r="B13" s="112"/>
      <c r="C13" s="113"/>
      <c r="D13" s="95"/>
      <c r="E13" s="96"/>
      <c r="F13" s="96"/>
      <c r="G13" s="97"/>
      <c r="H13" s="98"/>
      <c r="I13" s="99"/>
      <c r="J13" s="99"/>
      <c r="K13" s="100"/>
      <c r="L13" s="100"/>
      <c r="M13" s="101"/>
      <c r="N13" s="102"/>
      <c r="O13" s="103"/>
      <c r="P13" s="103"/>
      <c r="Q13" s="116"/>
      <c r="R13" s="117"/>
      <c r="S13" s="105"/>
      <c r="T13" s="96"/>
      <c r="U13" s="96"/>
      <c r="V13" s="97"/>
      <c r="W13" s="102"/>
      <c r="X13" s="100"/>
      <c r="Y13" s="100"/>
      <c r="Z13" s="101"/>
      <c r="AA13" s="98"/>
      <c r="AB13" s="103"/>
      <c r="AC13" s="100"/>
      <c r="AD13" s="101"/>
      <c r="AE13" s="105"/>
      <c r="AF13" s="106"/>
      <c r="AG13" s="106"/>
      <c r="AH13" s="97"/>
      <c r="AI13" s="105"/>
      <c r="AJ13" s="106"/>
      <c r="AK13" s="106"/>
      <c r="AL13" s="97"/>
      <c r="AM13" s="105"/>
      <c r="AN13" s="106"/>
      <c r="AO13" s="106"/>
      <c r="AP13" s="104"/>
      <c r="AQ13" s="107"/>
      <c r="AR13" s="114"/>
      <c r="AS13" s="114"/>
      <c r="AT13" s="114"/>
      <c r="AU13" s="114"/>
      <c r="AV13" s="115"/>
      <c r="AW13" s="108"/>
      <c r="AX13" s="111"/>
      <c r="AY13" s="109"/>
      <c r="AZ13" s="110"/>
      <c r="BA13" s="86"/>
      <c r="BB13" s="87"/>
      <c r="BC13" s="88"/>
      <c r="BD13" s="89"/>
      <c r="BE13" s="89"/>
      <c r="BF13" s="89"/>
      <c r="BG13" s="90"/>
      <c r="BH13" s="90"/>
      <c r="BI13" s="91"/>
      <c r="BJ13" s="89"/>
      <c r="BK13" s="92"/>
    </row>
    <row r="14" spans="1:63" ht="16" customHeight="1">
      <c r="B14" s="118"/>
      <c r="C14" s="119"/>
      <c r="D14" s="95"/>
      <c r="E14" s="96"/>
      <c r="F14" s="96"/>
      <c r="G14" s="97"/>
      <c r="H14" s="98"/>
      <c r="I14" s="99"/>
      <c r="J14" s="99"/>
      <c r="K14" s="100"/>
      <c r="L14" s="100"/>
      <c r="M14" s="101"/>
      <c r="N14" s="102"/>
      <c r="O14" s="103"/>
      <c r="P14" s="103"/>
      <c r="Q14" s="116"/>
      <c r="R14" s="117"/>
      <c r="S14" s="105"/>
      <c r="T14" s="96"/>
      <c r="U14" s="96"/>
      <c r="V14" s="97"/>
      <c r="W14" s="102"/>
      <c r="X14" s="100"/>
      <c r="Y14" s="100"/>
      <c r="Z14" s="101"/>
      <c r="AA14" s="98"/>
      <c r="AB14" s="103"/>
      <c r="AC14" s="100"/>
      <c r="AD14" s="101"/>
      <c r="AE14" s="105"/>
      <c r="AF14" s="106"/>
      <c r="AG14" s="106"/>
      <c r="AH14" s="97"/>
      <c r="AI14" s="105"/>
      <c r="AJ14" s="106"/>
      <c r="AK14" s="106"/>
      <c r="AL14" s="97"/>
      <c r="AM14" s="105"/>
      <c r="AN14" s="106"/>
      <c r="AO14" s="106"/>
      <c r="AP14" s="104"/>
      <c r="AQ14" s="107"/>
      <c r="AR14" s="114"/>
      <c r="AS14" s="114"/>
      <c r="AT14" s="114"/>
      <c r="AU14" s="114"/>
      <c r="AV14" s="115"/>
      <c r="AW14" s="108"/>
      <c r="AX14" s="111"/>
      <c r="AY14" s="109"/>
      <c r="AZ14" s="110"/>
      <c r="BA14" s="86"/>
      <c r="BB14" s="87"/>
      <c r="BC14" s="88"/>
      <c r="BD14" s="89"/>
      <c r="BE14" s="89"/>
      <c r="BF14" s="89"/>
      <c r="BG14" s="90"/>
      <c r="BH14" s="90"/>
      <c r="BI14" s="91"/>
      <c r="BJ14" s="89"/>
      <c r="BK14" s="92"/>
    </row>
    <row r="15" spans="1:63" ht="16" customHeight="1">
      <c r="B15" s="118"/>
      <c r="C15" s="119"/>
      <c r="D15" s="95"/>
      <c r="E15" s="96"/>
      <c r="F15" s="96"/>
      <c r="G15" s="97"/>
      <c r="H15" s="98"/>
      <c r="I15" s="99"/>
      <c r="J15" s="99"/>
      <c r="K15" s="100"/>
      <c r="L15" s="100"/>
      <c r="M15" s="101"/>
      <c r="N15" s="102"/>
      <c r="O15" s="103"/>
      <c r="P15" s="103"/>
      <c r="Q15" s="116"/>
      <c r="R15" s="117"/>
      <c r="S15" s="105"/>
      <c r="T15" s="96"/>
      <c r="U15" s="96"/>
      <c r="V15" s="97"/>
      <c r="W15" s="102"/>
      <c r="X15" s="100"/>
      <c r="Y15" s="100"/>
      <c r="Z15" s="101"/>
      <c r="AA15" s="98"/>
      <c r="AB15" s="103"/>
      <c r="AC15" s="100"/>
      <c r="AD15" s="101"/>
      <c r="AE15" s="105"/>
      <c r="AF15" s="106"/>
      <c r="AG15" s="106"/>
      <c r="AH15" s="97"/>
      <c r="AI15" s="105"/>
      <c r="AJ15" s="106"/>
      <c r="AK15" s="106"/>
      <c r="AL15" s="97"/>
      <c r="AM15" s="105"/>
      <c r="AN15" s="106"/>
      <c r="AO15" s="106"/>
      <c r="AP15" s="104"/>
      <c r="AQ15" s="107"/>
      <c r="AR15" s="114"/>
      <c r="AS15" s="114"/>
      <c r="AT15" s="114"/>
      <c r="AU15" s="114"/>
      <c r="AV15" s="115"/>
      <c r="AW15" s="108"/>
      <c r="AX15" s="111"/>
      <c r="AY15" s="109"/>
      <c r="AZ15" s="110"/>
      <c r="BA15" s="86"/>
      <c r="BB15" s="87"/>
      <c r="BC15" s="88"/>
      <c r="BD15" s="89"/>
      <c r="BE15" s="89"/>
      <c r="BF15" s="89"/>
      <c r="BG15" s="90"/>
      <c r="BH15" s="90"/>
      <c r="BI15" s="91"/>
      <c r="BJ15" s="89"/>
      <c r="BK15" s="92"/>
    </row>
    <row r="16" spans="1:63" ht="16" customHeight="1">
      <c r="B16" s="118"/>
      <c r="C16" s="119"/>
      <c r="D16" s="95"/>
      <c r="E16" s="96"/>
      <c r="F16" s="96"/>
      <c r="G16" s="97"/>
      <c r="H16" s="98"/>
      <c r="I16" s="99"/>
      <c r="J16" s="99"/>
      <c r="K16" s="100"/>
      <c r="L16" s="100"/>
      <c r="M16" s="101"/>
      <c r="N16" s="102"/>
      <c r="O16" s="103"/>
      <c r="P16" s="103"/>
      <c r="Q16" s="116"/>
      <c r="R16" s="117"/>
      <c r="S16" s="105"/>
      <c r="T16" s="96"/>
      <c r="U16" s="96"/>
      <c r="V16" s="97"/>
      <c r="W16" s="98"/>
      <c r="X16" s="120"/>
      <c r="Y16" s="100"/>
      <c r="Z16" s="101"/>
      <c r="AA16" s="98"/>
      <c r="AB16" s="103"/>
      <c r="AC16" s="100"/>
      <c r="AD16" s="101"/>
      <c r="AE16" s="105"/>
      <c r="AF16" s="106"/>
      <c r="AG16" s="106"/>
      <c r="AH16" s="97"/>
      <c r="AI16" s="105"/>
      <c r="AJ16" s="106"/>
      <c r="AK16" s="106"/>
      <c r="AL16" s="97"/>
      <c r="AM16" s="105"/>
      <c r="AN16" s="106"/>
      <c r="AO16" s="106"/>
      <c r="AP16" s="104"/>
      <c r="AQ16" s="107"/>
      <c r="AR16" s="114"/>
      <c r="AS16" s="114"/>
      <c r="AT16" s="114"/>
      <c r="AU16" s="114"/>
      <c r="AV16" s="115"/>
      <c r="AW16" s="108"/>
      <c r="AX16" s="111"/>
      <c r="AY16" s="109"/>
      <c r="AZ16" s="110"/>
      <c r="BA16" s="86"/>
      <c r="BB16" s="87"/>
      <c r="BC16" s="88"/>
      <c r="BD16" s="89"/>
      <c r="BE16" s="89"/>
      <c r="BF16" s="89"/>
      <c r="BG16" s="90"/>
      <c r="BH16" s="90"/>
      <c r="BI16" s="91"/>
      <c r="BJ16" s="89"/>
      <c r="BK16" s="92"/>
    </row>
    <row r="17" spans="2:63" ht="16" customHeight="1">
      <c r="B17" s="118"/>
      <c r="D17" s="118"/>
      <c r="F17" s="118"/>
      <c r="H17" s="118"/>
      <c r="J17" s="118"/>
      <c r="L17" s="118"/>
      <c r="N17" s="118"/>
      <c r="P17" s="118"/>
      <c r="R17" s="118"/>
      <c r="T17" s="118"/>
      <c r="V17" s="118"/>
      <c r="X17" s="118"/>
      <c r="Z17" s="118"/>
      <c r="AB17" s="118"/>
      <c r="AD17" s="118"/>
      <c r="AF17" s="118"/>
      <c r="AH17" s="118"/>
      <c r="AJ17" s="118"/>
      <c r="AL17" s="118"/>
      <c r="AN17" s="118"/>
      <c r="AP17" s="118"/>
      <c r="AR17" s="118"/>
      <c r="AT17" s="118"/>
      <c r="AV17" s="118"/>
      <c r="AX17" s="118"/>
      <c r="AZ17" s="118"/>
      <c r="BA17" s="86"/>
      <c r="BB17" s="87"/>
      <c r="BC17" s="88"/>
      <c r="BD17" s="89"/>
      <c r="BE17" s="89"/>
      <c r="BF17" s="89"/>
      <c r="BG17" s="90"/>
      <c r="BH17" s="90"/>
      <c r="BI17" s="91"/>
      <c r="BJ17" s="89"/>
      <c r="BK17" s="92"/>
    </row>
    <row r="18" spans="2:63" ht="16" customHeight="1">
      <c r="B18" s="118"/>
      <c r="C18" s="94"/>
      <c r="D18" s="95"/>
      <c r="E18" s="96"/>
      <c r="F18" s="96"/>
      <c r="G18" s="97"/>
      <c r="H18" s="98"/>
      <c r="I18" s="99"/>
      <c r="J18" s="99"/>
      <c r="K18" s="100"/>
      <c r="L18" s="100"/>
      <c r="M18" s="101"/>
      <c r="N18" s="102"/>
      <c r="O18" s="103"/>
      <c r="P18" s="103"/>
      <c r="Q18" s="116"/>
      <c r="R18" s="117"/>
      <c r="S18" s="105"/>
      <c r="T18" s="96"/>
      <c r="U18" s="96"/>
      <c r="V18" s="97"/>
      <c r="W18" s="98"/>
      <c r="X18" s="120"/>
      <c r="Y18" s="100"/>
      <c r="Z18" s="101"/>
      <c r="AA18" s="98"/>
      <c r="AB18" s="103"/>
      <c r="AC18" s="100"/>
      <c r="AD18" s="101"/>
      <c r="AE18" s="105"/>
      <c r="AF18" s="106"/>
      <c r="AG18" s="106"/>
      <c r="AH18" s="97"/>
      <c r="AI18" s="105"/>
      <c r="AJ18" s="106"/>
      <c r="AK18" s="106"/>
      <c r="AL18" s="97"/>
      <c r="AM18" s="105"/>
      <c r="AN18" s="106"/>
      <c r="AO18" s="106"/>
      <c r="AP18" s="104"/>
      <c r="AQ18" s="107"/>
      <c r="AR18" s="114"/>
      <c r="AS18" s="114"/>
      <c r="AT18" s="114"/>
      <c r="AU18" s="114"/>
      <c r="AV18" s="115"/>
      <c r="AW18" s="108"/>
      <c r="AX18" s="111"/>
      <c r="AY18" s="109"/>
      <c r="AZ18" s="110"/>
      <c r="BA18" s="86"/>
      <c r="BB18" s="87"/>
      <c r="BC18" s="88"/>
      <c r="BD18" s="89"/>
      <c r="BE18" s="89"/>
      <c r="BF18" s="89"/>
      <c r="BG18" s="90"/>
      <c r="BH18" s="90"/>
      <c r="BI18" s="91"/>
      <c r="BJ18" s="89"/>
      <c r="BK18" s="92" t="s">
        <v>52</v>
      </c>
    </row>
    <row r="19" spans="2:63" ht="16" customHeight="1">
      <c r="B19" s="121"/>
      <c r="C19" s="122"/>
      <c r="D19" s="123"/>
      <c r="E19" s="124"/>
      <c r="F19" s="124"/>
      <c r="G19" s="125"/>
      <c r="H19" s="126"/>
      <c r="I19" s="127"/>
      <c r="J19" s="127"/>
      <c r="K19" s="128"/>
      <c r="L19" s="128"/>
      <c r="M19" s="129"/>
      <c r="N19" s="126"/>
      <c r="O19" s="128"/>
      <c r="P19" s="128"/>
      <c r="Q19" s="130"/>
      <c r="R19" s="131"/>
      <c r="S19" s="132"/>
      <c r="T19" s="124"/>
      <c r="U19" s="124"/>
      <c r="V19" s="125"/>
      <c r="W19" s="126"/>
      <c r="X19" s="128"/>
      <c r="Y19" s="128"/>
      <c r="Z19" s="129"/>
      <c r="AA19" s="126"/>
      <c r="AB19" s="128"/>
      <c r="AC19" s="128"/>
      <c r="AD19" s="129"/>
      <c r="AE19" s="132"/>
      <c r="AF19" s="124"/>
      <c r="AG19" s="124"/>
      <c r="AH19" s="125"/>
      <c r="AI19" s="132"/>
      <c r="AJ19" s="124"/>
      <c r="AK19" s="124"/>
      <c r="AL19" s="125"/>
      <c r="AM19" s="132"/>
      <c r="AN19" s="124"/>
      <c r="AO19" s="124"/>
      <c r="AP19" s="133"/>
      <c r="AQ19" s="134"/>
      <c r="AR19" s="135"/>
      <c r="AS19" s="135"/>
      <c r="AT19" s="135"/>
      <c r="AU19" s="136"/>
      <c r="AV19" s="137"/>
      <c r="AW19" s="138"/>
      <c r="AX19" s="139"/>
      <c r="AY19" s="140"/>
      <c r="AZ19" s="131"/>
      <c r="BA19" s="24"/>
      <c r="BB19" s="87"/>
      <c r="BC19" s="141"/>
      <c r="BD19" s="141"/>
      <c r="BE19" s="87"/>
      <c r="BF19" s="87"/>
      <c r="BG19" s="142"/>
      <c r="BH19" s="142"/>
      <c r="BI19" s="91"/>
      <c r="BJ19" s="141"/>
      <c r="BK19" s="143"/>
    </row>
    <row r="20" spans="2:63" ht="15.5">
      <c r="B20" s="25"/>
      <c r="C20" s="24"/>
      <c r="D20" s="24"/>
      <c r="E20" s="24"/>
      <c r="F20" s="24"/>
      <c r="G20" s="25"/>
      <c r="H20" s="25"/>
      <c r="I20" s="25"/>
      <c r="J20" s="25"/>
      <c r="K20" s="25"/>
      <c r="L20" s="25"/>
      <c r="M20" s="25"/>
      <c r="N20" s="25"/>
      <c r="O20" s="25"/>
      <c r="P20" s="25"/>
      <c r="Q20" s="25"/>
      <c r="R20" s="25"/>
      <c r="S20" s="25"/>
      <c r="T20" s="25"/>
      <c r="U20" s="25"/>
      <c r="V20" s="25"/>
      <c r="W20" s="35"/>
      <c r="X20" s="35"/>
      <c r="Y20" s="35"/>
      <c r="Z20" s="35"/>
      <c r="AA20" s="35"/>
      <c r="AB20" s="35"/>
      <c r="AC20" s="35"/>
      <c r="AD20" s="144"/>
      <c r="AE20" s="144"/>
      <c r="AF20" s="144"/>
      <c r="AG20" s="144"/>
      <c r="AH20" s="144"/>
      <c r="AI20" s="144"/>
      <c r="AJ20" s="144"/>
      <c r="AK20" s="144"/>
      <c r="AL20" s="144"/>
      <c r="AM20" s="144"/>
      <c r="AN20" s="144"/>
      <c r="AO20" s="144"/>
      <c r="AP20" s="35"/>
      <c r="AQ20" s="35"/>
      <c r="AR20" s="25"/>
      <c r="AS20" s="25"/>
      <c r="AT20" s="35"/>
      <c r="AU20" s="35"/>
      <c r="AV20" s="35"/>
      <c r="AW20" s="35"/>
      <c r="AX20" s="35"/>
      <c r="AY20" s="35"/>
      <c r="AZ20" s="25"/>
      <c r="BA20" s="25"/>
      <c r="BB20" s="26"/>
      <c r="BC20" s="26"/>
      <c r="BD20" s="26"/>
      <c r="BE20" s="26"/>
      <c r="BF20" s="26"/>
      <c r="BG20" s="26"/>
      <c r="BH20" s="26"/>
      <c r="BI20" s="145"/>
      <c r="BJ20" s="26"/>
      <c r="BK20" s="27"/>
    </row>
    <row r="21" spans="2:63" s="202" customFormat="1" ht="15.5">
      <c r="B21" s="245" t="s">
        <v>53</v>
      </c>
      <c r="C21" s="246">
        <v>16</v>
      </c>
      <c r="D21" s="246">
        <v>17</v>
      </c>
      <c r="E21" s="246">
        <v>18</v>
      </c>
      <c r="F21" s="246"/>
      <c r="G21" s="245"/>
      <c r="H21" s="245"/>
      <c r="I21" s="245">
        <v>20</v>
      </c>
      <c r="J21" s="245">
        <v>19</v>
      </c>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5"/>
      <c r="AX21" s="245"/>
      <c r="AY21" s="245"/>
      <c r="AZ21" s="245"/>
      <c r="BA21" s="245"/>
      <c r="BB21" s="247"/>
      <c r="BC21" s="247"/>
      <c r="BD21" s="247"/>
      <c r="BE21" s="247"/>
      <c r="BF21" s="247"/>
      <c r="BG21" s="247"/>
      <c r="BH21" s="247"/>
      <c r="BI21" s="247"/>
      <c r="BJ21" s="247"/>
      <c r="BK21" s="248"/>
    </row>
    <row r="22" spans="2:63" ht="15.5">
      <c r="B22" s="25"/>
      <c r="C22" s="24">
        <f>SUM(C26:C33)</f>
        <v>0</v>
      </c>
      <c r="D22" s="24">
        <f t="shared" ref="D22:J22" si="0">SUM(D26:D33)</f>
        <v>0</v>
      </c>
      <c r="E22" s="24">
        <f t="shared" si="0"/>
        <v>0</v>
      </c>
      <c r="F22" s="24">
        <f t="shared" si="0"/>
        <v>0</v>
      </c>
      <c r="G22" s="24">
        <f t="shared" si="0"/>
        <v>0</v>
      </c>
      <c r="H22" s="24">
        <f t="shared" si="0"/>
        <v>0</v>
      </c>
      <c r="I22" s="24">
        <f t="shared" si="0"/>
        <v>0</v>
      </c>
      <c r="J22" s="24">
        <f t="shared" si="0"/>
        <v>0</v>
      </c>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6"/>
      <c r="BC22" s="26"/>
      <c r="BD22" s="26"/>
      <c r="BE22" s="26"/>
      <c r="BF22" s="26"/>
      <c r="BG22" s="26"/>
      <c r="BH22" s="26"/>
      <c r="BI22" s="26"/>
      <c r="BJ22" s="26"/>
      <c r="BK22" s="27"/>
    </row>
    <row r="23" spans="2:63" ht="15.5">
      <c r="B23" s="146"/>
      <c r="C23" s="326"/>
      <c r="D23" s="326"/>
      <c r="E23" s="326"/>
      <c r="F23" s="326"/>
      <c r="G23" s="326"/>
      <c r="H23" s="326"/>
      <c r="I23" s="326"/>
      <c r="J23" s="327"/>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6"/>
      <c r="BC23" s="26"/>
      <c r="BD23" s="26"/>
      <c r="BE23" s="26"/>
      <c r="BF23" s="26"/>
      <c r="BG23" s="26"/>
      <c r="BH23" s="26"/>
      <c r="BI23" s="26"/>
      <c r="BJ23" s="26"/>
      <c r="BK23" s="27"/>
    </row>
    <row r="24" spans="2:63" ht="15.5">
      <c r="B24" s="37"/>
      <c r="C24" s="323" t="s">
        <v>54</v>
      </c>
      <c r="D24" s="324"/>
      <c r="E24" s="324"/>
      <c r="F24" s="324"/>
      <c r="G24" s="324"/>
      <c r="H24" s="324"/>
      <c r="I24" s="324"/>
      <c r="J24" s="3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6"/>
      <c r="BC24" s="26"/>
      <c r="BD24" s="26"/>
      <c r="BE24" s="26"/>
      <c r="BF24" s="26"/>
      <c r="BG24" s="26"/>
      <c r="BH24" s="26"/>
      <c r="BI24" s="26"/>
      <c r="BJ24" s="26"/>
      <c r="BK24" s="27"/>
    </row>
    <row r="25" spans="2:63" ht="91">
      <c r="B25" s="45" t="s">
        <v>20</v>
      </c>
      <c r="C25" s="52" t="s">
        <v>31</v>
      </c>
      <c r="D25" s="53" t="s">
        <v>32</v>
      </c>
      <c r="E25" s="53" t="s">
        <v>33</v>
      </c>
      <c r="F25" s="54" t="s">
        <v>55</v>
      </c>
      <c r="G25" s="54" t="s">
        <v>56</v>
      </c>
      <c r="H25" s="54" t="s">
        <v>57</v>
      </c>
      <c r="I25" s="56" t="s">
        <v>24</v>
      </c>
      <c r="J25" s="53" t="s">
        <v>25</v>
      </c>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6"/>
      <c r="BC25" s="26"/>
      <c r="BD25" s="26"/>
      <c r="BE25" s="26"/>
      <c r="BF25" s="26"/>
      <c r="BG25" s="26"/>
      <c r="BH25" s="26"/>
      <c r="BI25" s="26"/>
      <c r="BJ25" s="26"/>
      <c r="BK25" s="27"/>
    </row>
    <row r="26" spans="2:63" ht="15.5">
      <c r="B26" s="291">
        <v>1</v>
      </c>
      <c r="C26" s="147"/>
      <c r="D26" s="148"/>
      <c r="E26" s="148"/>
      <c r="F26" s="148"/>
      <c r="G26" s="149">
        <f>IFERROR(VLOOKUP($F26,'Ref tables'!$C$4:$D$5,2,0),0)</f>
        <v>0</v>
      </c>
      <c r="H26" s="149">
        <f>IFERROR(VLOOKUP($F26,'Ref tables'!$C$4:$E$5,3,0),0)</f>
        <v>0</v>
      </c>
      <c r="I26" s="73">
        <f>G26*D26</f>
        <v>0</v>
      </c>
      <c r="J26" s="150">
        <f>D26*H26</f>
        <v>0</v>
      </c>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6"/>
      <c r="BC26" s="26"/>
      <c r="BD26" s="26"/>
      <c r="BE26" s="26"/>
      <c r="BF26" s="26"/>
      <c r="BG26" s="26"/>
      <c r="BH26" s="26"/>
      <c r="BI26" s="26"/>
      <c r="BJ26" s="26"/>
      <c r="BK26" s="27"/>
    </row>
    <row r="27" spans="2:63" ht="15.5">
      <c r="B27" s="292">
        <v>2</v>
      </c>
      <c r="C27" s="147"/>
      <c r="D27" s="148"/>
      <c r="E27" s="148"/>
      <c r="F27" s="148"/>
      <c r="G27" s="149">
        <f>IFERROR(VLOOKUP($F27,'Ref tables'!$C$4:$D$5,2,0),0)</f>
        <v>0</v>
      </c>
      <c r="H27" s="149">
        <f>IFERROR(VLOOKUP($F27,'Ref tables'!$C$4:$E$5,3,0),0)</f>
        <v>0</v>
      </c>
      <c r="I27" s="73">
        <f>G27*D27</f>
        <v>0</v>
      </c>
      <c r="J27" s="150">
        <f>D27*H27</f>
        <v>0</v>
      </c>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6"/>
      <c r="BC27" s="26"/>
      <c r="BD27" s="26"/>
      <c r="BE27" s="26"/>
      <c r="BF27" s="26"/>
      <c r="BG27" s="26"/>
      <c r="BH27" s="26"/>
      <c r="BI27" s="26"/>
      <c r="BJ27" s="26"/>
      <c r="BK27" s="27"/>
    </row>
    <row r="28" spans="2:63" ht="15.5">
      <c r="B28" s="292">
        <v>3</v>
      </c>
      <c r="C28" s="147"/>
      <c r="D28" s="148"/>
      <c r="E28" s="148"/>
      <c r="F28" s="148"/>
      <c r="G28" s="149">
        <f>IFERROR(VLOOKUP($F28,'Ref tables'!$C$4:$D$5,2,0),0)</f>
        <v>0</v>
      </c>
      <c r="H28" s="149">
        <f>IFERROR(VLOOKUP($F28,'Ref tables'!$C$4:$E$5,3,0),0)</f>
        <v>0</v>
      </c>
      <c r="I28" s="73">
        <f t="shared" ref="I28:I33" si="1">G28*D28</f>
        <v>0</v>
      </c>
      <c r="J28" s="150">
        <f t="shared" ref="J28:J33" si="2">D28*H28</f>
        <v>0</v>
      </c>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6"/>
      <c r="BC28" s="26"/>
      <c r="BD28" s="26"/>
      <c r="BE28" s="26"/>
      <c r="BF28" s="26"/>
      <c r="BG28" s="26"/>
      <c r="BH28" s="26"/>
      <c r="BI28" s="26"/>
      <c r="BJ28" s="26"/>
      <c r="BK28" s="27"/>
    </row>
    <row r="29" spans="2:63" ht="15.5">
      <c r="B29" s="292">
        <v>4</v>
      </c>
      <c r="C29" s="147"/>
      <c r="D29" s="148"/>
      <c r="E29" s="148"/>
      <c r="F29" s="148"/>
      <c r="G29" s="149">
        <f>IFERROR(VLOOKUP($F29,'Ref tables'!$C$4:$D$5,2,0),0)</f>
        <v>0</v>
      </c>
      <c r="H29" s="149">
        <f>IFERROR(VLOOKUP($F29,'Ref tables'!$C$4:$E$5,3,0),0)</f>
        <v>0</v>
      </c>
      <c r="I29" s="73">
        <f t="shared" si="1"/>
        <v>0</v>
      </c>
      <c r="J29" s="150">
        <f t="shared" si="2"/>
        <v>0</v>
      </c>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6"/>
      <c r="BC29" s="26"/>
      <c r="BD29" s="26"/>
      <c r="BE29" s="26"/>
      <c r="BF29" s="26"/>
      <c r="BG29" s="26"/>
      <c r="BH29" s="26"/>
      <c r="BI29" s="26"/>
      <c r="BJ29" s="26"/>
      <c r="BK29" s="27"/>
    </row>
    <row r="30" spans="2:63" ht="15.5">
      <c r="B30" s="292">
        <v>5</v>
      </c>
      <c r="C30" s="147"/>
      <c r="D30" s="148"/>
      <c r="E30" s="148"/>
      <c r="F30" s="148"/>
      <c r="G30" s="149">
        <f>IFERROR(VLOOKUP($F30,'Ref tables'!$C$4:$D$5,2,0),0)</f>
        <v>0</v>
      </c>
      <c r="H30" s="149">
        <f>IFERROR(VLOOKUP($F30,'Ref tables'!$C$4:$E$5,3,0),0)</f>
        <v>0</v>
      </c>
      <c r="I30" s="73">
        <f t="shared" si="1"/>
        <v>0</v>
      </c>
      <c r="J30" s="150">
        <f t="shared" si="2"/>
        <v>0</v>
      </c>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6"/>
      <c r="BC30" s="26"/>
      <c r="BD30" s="26"/>
      <c r="BE30" s="26"/>
      <c r="BF30" s="26"/>
      <c r="BG30" s="26"/>
      <c r="BH30" s="26"/>
      <c r="BI30" s="26"/>
      <c r="BJ30" s="26"/>
      <c r="BK30" s="27"/>
    </row>
    <row r="31" spans="2:63" ht="15.5">
      <c r="B31" s="292">
        <v>6</v>
      </c>
      <c r="C31" s="147"/>
      <c r="D31" s="148"/>
      <c r="E31" s="148"/>
      <c r="F31" s="148"/>
      <c r="G31" s="149">
        <f>IFERROR(VLOOKUP($F31,'Ref tables'!$C$4:$D$5,2,0),0)</f>
        <v>0</v>
      </c>
      <c r="H31" s="149">
        <f>IFERROR(VLOOKUP($F31,'Ref tables'!$C$4:$E$5,3,0),0)</f>
        <v>0</v>
      </c>
      <c r="I31" s="73">
        <f t="shared" si="1"/>
        <v>0</v>
      </c>
      <c r="J31" s="150">
        <f t="shared" si="2"/>
        <v>0</v>
      </c>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6"/>
      <c r="BC31" s="26"/>
      <c r="BD31" s="26"/>
      <c r="BE31" s="26"/>
      <c r="BF31" s="26"/>
      <c r="BG31" s="26"/>
      <c r="BH31" s="26"/>
      <c r="BI31" s="26"/>
      <c r="BJ31" s="26"/>
      <c r="BK31" s="27"/>
    </row>
    <row r="32" spans="2:63" ht="15.5">
      <c r="B32" s="292">
        <v>7</v>
      </c>
      <c r="C32" s="147"/>
      <c r="D32" s="148"/>
      <c r="E32" s="148"/>
      <c r="F32" s="148"/>
      <c r="G32" s="149">
        <f>IFERROR(VLOOKUP($F32,'Ref tables'!$C$4:$D$5,2,0),0)</f>
        <v>0</v>
      </c>
      <c r="H32" s="149">
        <f>IFERROR(VLOOKUP($F32,'Ref tables'!$C$4:$E$5,3,0),0)</f>
        <v>0</v>
      </c>
      <c r="I32" s="73">
        <f t="shared" si="1"/>
        <v>0</v>
      </c>
      <c r="J32" s="150">
        <f t="shared" si="2"/>
        <v>0</v>
      </c>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6"/>
      <c r="BC32" s="26"/>
      <c r="BD32" s="26"/>
      <c r="BE32" s="26"/>
      <c r="BF32" s="26"/>
      <c r="BG32" s="26"/>
      <c r="BH32" s="26"/>
      <c r="BI32" s="26"/>
      <c r="BJ32" s="26"/>
      <c r="BK32" s="27"/>
    </row>
    <row r="33" spans="2:63" ht="15.5">
      <c r="B33" s="293">
        <v>8</v>
      </c>
      <c r="C33" s="147"/>
      <c r="D33" s="148"/>
      <c r="E33" s="148"/>
      <c r="F33" s="148"/>
      <c r="G33" s="149">
        <f>IFERROR(VLOOKUP($F33,'Ref tables'!$C$4:$D$5,2,0),0)</f>
        <v>0</v>
      </c>
      <c r="H33" s="149">
        <f>IFERROR(VLOOKUP($F33,'Ref tables'!$C$4:$E$5,3,0),0)</f>
        <v>0</v>
      </c>
      <c r="I33" s="73">
        <f t="shared" si="1"/>
        <v>0</v>
      </c>
      <c r="J33" s="150">
        <f t="shared" si="2"/>
        <v>0</v>
      </c>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6"/>
      <c r="BC33" s="26"/>
      <c r="BD33" s="26"/>
      <c r="BE33" s="26"/>
      <c r="BF33" s="26"/>
      <c r="BG33" s="26"/>
      <c r="BH33" s="26"/>
      <c r="BI33" s="26"/>
      <c r="BJ33" s="26"/>
      <c r="BK33" s="27"/>
    </row>
    <row r="34" spans="2:63" s="202" customFormat="1" ht="15.5">
      <c r="B34" s="249" t="s">
        <v>53</v>
      </c>
      <c r="C34" s="250">
        <v>21</v>
      </c>
      <c r="D34" s="250">
        <v>22</v>
      </c>
      <c r="E34" s="250"/>
      <c r="F34" s="250"/>
      <c r="G34" s="250"/>
      <c r="H34" s="250">
        <v>23</v>
      </c>
      <c r="I34" s="250">
        <v>24</v>
      </c>
      <c r="J34" s="250"/>
      <c r="K34" s="245"/>
      <c r="L34" s="245"/>
      <c r="M34" s="245"/>
      <c r="N34" s="245"/>
      <c r="O34" s="245"/>
      <c r="P34" s="245"/>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7"/>
      <c r="BC34" s="247"/>
      <c r="BD34" s="247"/>
      <c r="BE34" s="247"/>
      <c r="BF34" s="247"/>
      <c r="BG34" s="247"/>
      <c r="BH34" s="247"/>
      <c r="BI34" s="247"/>
      <c r="BJ34" s="247"/>
      <c r="BK34" s="248"/>
    </row>
    <row r="35" spans="2:63" ht="15.5">
      <c r="B35" s="25"/>
      <c r="C35" s="24">
        <f>SUM(C39:C50)</f>
        <v>0</v>
      </c>
      <c r="D35" s="24">
        <f t="shared" ref="D35:I35" si="3">SUM(D39:D50)</f>
        <v>0</v>
      </c>
      <c r="E35" s="24">
        <f t="shared" si="3"/>
        <v>0</v>
      </c>
      <c r="F35" s="24">
        <f t="shared" si="3"/>
        <v>0</v>
      </c>
      <c r="G35" s="24">
        <f t="shared" si="3"/>
        <v>0</v>
      </c>
      <c r="H35" s="24">
        <f t="shared" si="3"/>
        <v>0</v>
      </c>
      <c r="I35" s="24">
        <f t="shared" si="3"/>
        <v>0</v>
      </c>
      <c r="J35" s="24"/>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6"/>
      <c r="BC35" s="26"/>
      <c r="BD35" s="26"/>
      <c r="BE35" s="26"/>
      <c r="BF35" s="26"/>
      <c r="BG35" s="26"/>
      <c r="BH35" s="26"/>
      <c r="BI35" s="26"/>
      <c r="BJ35" s="26"/>
      <c r="BK35" s="27"/>
    </row>
    <row r="36" spans="2:63" ht="15.5">
      <c r="B36" s="146"/>
      <c r="C36" s="320" t="s">
        <v>3</v>
      </c>
      <c r="D36" s="321"/>
      <c r="E36" s="321"/>
      <c r="F36" s="321"/>
      <c r="G36" s="321"/>
      <c r="H36" s="321"/>
      <c r="I36" s="322"/>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6"/>
      <c r="BC36" s="26"/>
      <c r="BD36" s="26"/>
      <c r="BE36" s="26"/>
      <c r="BF36" s="26"/>
      <c r="BG36" s="26"/>
      <c r="BH36" s="26"/>
      <c r="BI36" s="26"/>
      <c r="BJ36" s="26"/>
      <c r="BK36" s="27"/>
    </row>
    <row r="37" spans="2:63" ht="15.5">
      <c r="B37" s="151"/>
      <c r="C37" s="328" t="s">
        <v>17</v>
      </c>
      <c r="D37" s="324"/>
      <c r="E37" s="324"/>
      <c r="F37" s="324"/>
      <c r="G37" s="324"/>
      <c r="H37" s="324"/>
      <c r="I37" s="3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6"/>
      <c r="BC37" s="26"/>
      <c r="BD37" s="26"/>
      <c r="BE37" s="26"/>
      <c r="BF37" s="26"/>
      <c r="BG37" s="26"/>
      <c r="BH37" s="26"/>
      <c r="BI37" s="26"/>
      <c r="BJ37" s="26"/>
      <c r="BK37" s="27"/>
    </row>
    <row r="38" spans="2:63" ht="78">
      <c r="B38" s="152" t="s">
        <v>20</v>
      </c>
      <c r="C38" s="55" t="s">
        <v>34</v>
      </c>
      <c r="D38" s="53" t="s">
        <v>35</v>
      </c>
      <c r="E38" s="53" t="s">
        <v>59</v>
      </c>
      <c r="F38" s="54" t="s">
        <v>56</v>
      </c>
      <c r="G38" s="54" t="s">
        <v>57</v>
      </c>
      <c r="H38" s="53" t="s">
        <v>60</v>
      </c>
      <c r="I38" s="56" t="s">
        <v>25</v>
      </c>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6"/>
      <c r="BC38" s="26"/>
      <c r="BD38" s="26"/>
      <c r="BE38" s="26"/>
      <c r="BF38" s="26"/>
      <c r="BG38" s="26"/>
      <c r="BH38" s="26"/>
      <c r="BI38" s="26"/>
      <c r="BJ38" s="26"/>
      <c r="BK38" s="27"/>
    </row>
    <row r="39" spans="2:63" ht="15.5">
      <c r="B39" s="294">
        <v>1</v>
      </c>
      <c r="C39" s="154"/>
      <c r="D39" s="148"/>
      <c r="E39" s="148"/>
      <c r="F39" s="149">
        <f>IFERROR(VLOOKUP($E39,'Ref tables'!$G$4:$I$9,2,0),0)</f>
        <v>0</v>
      </c>
      <c r="G39" s="149">
        <f>IFERROR(VLOOKUP($E39,'Ref tables'!$G$4:$I$9,3,0),0)</f>
        <v>0</v>
      </c>
      <c r="H39" s="67">
        <f>F39*C39</f>
        <v>0</v>
      </c>
      <c r="I39" s="68">
        <f>C39*G39</f>
        <v>0</v>
      </c>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6"/>
      <c r="BC39" s="26"/>
      <c r="BD39" s="26"/>
      <c r="BE39" s="26"/>
      <c r="BF39" s="26"/>
      <c r="BG39" s="26"/>
      <c r="BH39" s="26"/>
      <c r="BI39" s="26"/>
      <c r="BJ39" s="26"/>
      <c r="BK39" s="27"/>
    </row>
    <row r="40" spans="2:63" ht="15.5">
      <c r="B40" s="153">
        <v>2</v>
      </c>
      <c r="C40" s="154"/>
      <c r="D40" s="148"/>
      <c r="E40" s="148"/>
      <c r="F40" s="149">
        <f>IFERROR(VLOOKUP($E40,'Ref tables'!$G$4:$I$9,2,0),0)</f>
        <v>0</v>
      </c>
      <c r="G40" s="149">
        <f>IFERROR(VLOOKUP($E40,'Ref tables'!$G$4:$I$9,3,0),0)</f>
        <v>0</v>
      </c>
      <c r="H40" s="67">
        <f t="shared" ref="H40:H50" si="4">F40*C40</f>
        <v>0</v>
      </c>
      <c r="I40" s="68">
        <f t="shared" ref="I40:I50" si="5">C40*G40</f>
        <v>0</v>
      </c>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6"/>
      <c r="BC40" s="26"/>
      <c r="BD40" s="26"/>
      <c r="BE40" s="26"/>
      <c r="BF40" s="26"/>
      <c r="BG40" s="26"/>
      <c r="BH40" s="26"/>
      <c r="BI40" s="26"/>
      <c r="BJ40" s="26"/>
      <c r="BK40" s="27"/>
    </row>
    <row r="41" spans="2:63" ht="15.5">
      <c r="B41" s="153">
        <v>3</v>
      </c>
      <c r="C41" s="154"/>
      <c r="D41" s="148"/>
      <c r="E41" s="148"/>
      <c r="F41" s="149">
        <f>IFERROR(VLOOKUP($E41,'Ref tables'!$G$4:$I$9,2,0),0)</f>
        <v>0</v>
      </c>
      <c r="G41" s="149">
        <f>IFERROR(VLOOKUP($E41,'Ref tables'!$G$4:$I$9,3,0),0)</f>
        <v>0</v>
      </c>
      <c r="H41" s="67">
        <f t="shared" si="4"/>
        <v>0</v>
      </c>
      <c r="I41" s="68">
        <f t="shared" si="5"/>
        <v>0</v>
      </c>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6"/>
      <c r="BC41" s="26"/>
      <c r="BD41" s="26"/>
      <c r="BE41" s="26"/>
      <c r="BF41" s="26"/>
      <c r="BG41" s="26"/>
      <c r="BH41" s="26"/>
      <c r="BI41" s="26"/>
      <c r="BJ41" s="26"/>
      <c r="BK41" s="27"/>
    </row>
    <row r="42" spans="2:63" ht="15.5">
      <c r="B42" s="153">
        <v>4</v>
      </c>
      <c r="C42" s="154"/>
      <c r="D42" s="148"/>
      <c r="E42" s="148"/>
      <c r="F42" s="149">
        <f>IFERROR(VLOOKUP($E42,'Ref tables'!$G$4:$I$9,2,0),0)</f>
        <v>0</v>
      </c>
      <c r="G42" s="149">
        <f>IFERROR(VLOOKUP($E42,'Ref tables'!$G$4:$I$9,3,0),0)</f>
        <v>0</v>
      </c>
      <c r="H42" s="67">
        <f t="shared" si="4"/>
        <v>0</v>
      </c>
      <c r="I42" s="68">
        <f t="shared" si="5"/>
        <v>0</v>
      </c>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6"/>
      <c r="BC42" s="26"/>
      <c r="BD42" s="26"/>
      <c r="BE42" s="26"/>
      <c r="BF42" s="26"/>
      <c r="BG42" s="26"/>
      <c r="BH42" s="26"/>
      <c r="BI42" s="26"/>
      <c r="BJ42" s="26"/>
      <c r="BK42" s="27"/>
    </row>
    <row r="43" spans="2:63" ht="15.5">
      <c r="B43" s="153">
        <v>5</v>
      </c>
      <c r="C43" s="154"/>
      <c r="D43" s="148"/>
      <c r="E43" s="148"/>
      <c r="F43" s="149">
        <f>IFERROR(VLOOKUP($E43,'Ref tables'!$G$4:$I$9,2,0),0)</f>
        <v>0</v>
      </c>
      <c r="G43" s="149">
        <f>IFERROR(VLOOKUP($E43,'Ref tables'!$G$4:$I$9,3,0),0)</f>
        <v>0</v>
      </c>
      <c r="H43" s="67">
        <f t="shared" si="4"/>
        <v>0</v>
      </c>
      <c r="I43" s="68">
        <f t="shared" si="5"/>
        <v>0</v>
      </c>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6"/>
      <c r="BC43" s="26"/>
      <c r="BD43" s="26"/>
      <c r="BE43" s="26"/>
      <c r="BF43" s="26"/>
      <c r="BG43" s="26"/>
      <c r="BH43" s="26"/>
      <c r="BI43" s="26"/>
      <c r="BJ43" s="26"/>
      <c r="BK43" s="27"/>
    </row>
    <row r="44" spans="2:63" ht="15.5">
      <c r="B44" s="153">
        <v>6</v>
      </c>
      <c r="C44" s="154"/>
      <c r="D44" s="148"/>
      <c r="E44" s="148"/>
      <c r="F44" s="149">
        <f>IFERROR(VLOOKUP($E44,'Ref tables'!$G$4:$I$9,2,0),0)</f>
        <v>0</v>
      </c>
      <c r="G44" s="149">
        <f>IFERROR(VLOOKUP($E44,'Ref tables'!$G$4:$I$9,3,0),0)</f>
        <v>0</v>
      </c>
      <c r="H44" s="67">
        <f t="shared" si="4"/>
        <v>0</v>
      </c>
      <c r="I44" s="68">
        <f t="shared" si="5"/>
        <v>0</v>
      </c>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6"/>
      <c r="BC44" s="26"/>
      <c r="BD44" s="26"/>
      <c r="BE44" s="26"/>
      <c r="BF44" s="26"/>
      <c r="BG44" s="26"/>
      <c r="BH44" s="26"/>
      <c r="BI44" s="26"/>
      <c r="BJ44" s="26"/>
      <c r="BK44" s="27"/>
    </row>
    <row r="45" spans="2:63" ht="15.5">
      <c r="B45" s="153">
        <v>7</v>
      </c>
      <c r="C45" s="154"/>
      <c r="D45" s="148"/>
      <c r="E45" s="148"/>
      <c r="F45" s="149">
        <f>IFERROR(VLOOKUP($E45,'Ref tables'!$G$4:$I$9,2,0),0)</f>
        <v>0</v>
      </c>
      <c r="G45" s="149">
        <f>IFERROR(VLOOKUP($E45,'Ref tables'!$G$4:$I$9,3,0),0)</f>
        <v>0</v>
      </c>
      <c r="H45" s="67">
        <f t="shared" si="4"/>
        <v>0</v>
      </c>
      <c r="I45" s="68">
        <f t="shared" si="5"/>
        <v>0</v>
      </c>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6"/>
      <c r="BC45" s="26"/>
      <c r="BD45" s="26"/>
      <c r="BE45" s="26"/>
      <c r="BF45" s="26"/>
      <c r="BG45" s="26"/>
      <c r="BH45" s="26"/>
      <c r="BI45" s="26"/>
      <c r="BJ45" s="26"/>
      <c r="BK45" s="27"/>
    </row>
    <row r="46" spans="2:63" ht="15.5">
      <c r="B46" s="153">
        <v>8</v>
      </c>
      <c r="C46" s="154"/>
      <c r="D46" s="148"/>
      <c r="E46" s="148"/>
      <c r="F46" s="149">
        <f>IFERROR(VLOOKUP($E46,'Ref tables'!$G$4:$I$9,2,0),0)</f>
        <v>0</v>
      </c>
      <c r="G46" s="149">
        <f>IFERROR(VLOOKUP($E46,'Ref tables'!$G$4:$I$9,3,0),0)</f>
        <v>0</v>
      </c>
      <c r="H46" s="67">
        <f t="shared" si="4"/>
        <v>0</v>
      </c>
      <c r="I46" s="68">
        <f t="shared" si="5"/>
        <v>0</v>
      </c>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6"/>
      <c r="BC46" s="26"/>
      <c r="BD46" s="26"/>
      <c r="BE46" s="26"/>
      <c r="BF46" s="26"/>
      <c r="BG46" s="26"/>
      <c r="BH46" s="26"/>
      <c r="BI46" s="26"/>
      <c r="BJ46" s="26"/>
      <c r="BK46" s="27"/>
    </row>
    <row r="47" spans="2:63" ht="15.5">
      <c r="B47" s="153">
        <v>9</v>
      </c>
      <c r="C47" s="154"/>
      <c r="D47" s="148"/>
      <c r="E47" s="148"/>
      <c r="F47" s="149">
        <f>IFERROR(VLOOKUP($E47,'Ref tables'!$G$4:$I$9,2,0),0)</f>
        <v>0</v>
      </c>
      <c r="G47" s="149">
        <f>IFERROR(VLOOKUP($E47,'Ref tables'!$G$4:$I$9,3,0),0)</f>
        <v>0</v>
      </c>
      <c r="H47" s="67">
        <f t="shared" si="4"/>
        <v>0</v>
      </c>
      <c r="I47" s="68">
        <f t="shared" si="5"/>
        <v>0</v>
      </c>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6"/>
      <c r="BC47" s="26"/>
      <c r="BD47" s="26"/>
      <c r="BE47" s="26"/>
      <c r="BF47" s="26"/>
      <c r="BG47" s="26"/>
      <c r="BH47" s="26"/>
      <c r="BI47" s="26"/>
      <c r="BJ47" s="26"/>
      <c r="BK47" s="27"/>
    </row>
    <row r="48" spans="2:63" ht="15.5">
      <c r="B48" s="153">
        <v>10</v>
      </c>
      <c r="C48" s="154"/>
      <c r="D48" s="148"/>
      <c r="E48" s="148"/>
      <c r="F48" s="149">
        <f>IFERROR(VLOOKUP($E48,'Ref tables'!$G$4:$I$9,2,0),0)</f>
        <v>0</v>
      </c>
      <c r="G48" s="149">
        <f>IFERROR(VLOOKUP($E48,'Ref tables'!$G$4:$I$9,3,0),0)</f>
        <v>0</v>
      </c>
      <c r="H48" s="67">
        <f t="shared" si="4"/>
        <v>0</v>
      </c>
      <c r="I48" s="68">
        <f t="shared" si="5"/>
        <v>0</v>
      </c>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6"/>
      <c r="BC48" s="26"/>
      <c r="BD48" s="26"/>
      <c r="BE48" s="26"/>
      <c r="BF48" s="26"/>
      <c r="BG48" s="26"/>
      <c r="BH48" s="26"/>
      <c r="BI48" s="26"/>
      <c r="BJ48" s="26"/>
      <c r="BK48" s="27"/>
    </row>
    <row r="49" spans="2:63" ht="15.5">
      <c r="B49" s="153">
        <v>11</v>
      </c>
      <c r="C49" s="154"/>
      <c r="D49" s="148"/>
      <c r="E49" s="148"/>
      <c r="F49" s="149">
        <f>IFERROR(VLOOKUP($E49,'Ref tables'!$G$4:$I$9,2,0),0)</f>
        <v>0</v>
      </c>
      <c r="G49" s="149">
        <f>IFERROR(VLOOKUP($E49,'Ref tables'!$G$4:$I$9,3,0),0)</f>
        <v>0</v>
      </c>
      <c r="H49" s="67">
        <f t="shared" si="4"/>
        <v>0</v>
      </c>
      <c r="I49" s="68">
        <f t="shared" si="5"/>
        <v>0</v>
      </c>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6"/>
      <c r="BC49" s="26"/>
      <c r="BD49" s="26"/>
      <c r="BE49" s="26"/>
      <c r="BF49" s="26"/>
      <c r="BG49" s="26"/>
      <c r="BH49" s="26"/>
      <c r="BI49" s="26"/>
      <c r="BJ49" s="26"/>
      <c r="BK49" s="27"/>
    </row>
    <row r="50" spans="2:63" ht="15.5">
      <c r="B50" s="295">
        <v>12</v>
      </c>
      <c r="C50" s="154"/>
      <c r="D50" s="148"/>
      <c r="E50" s="148"/>
      <c r="F50" s="149">
        <f>IFERROR(VLOOKUP($E50,'Ref tables'!$G$4:$I$9,2,0),0)</f>
        <v>0</v>
      </c>
      <c r="G50" s="149">
        <f>IFERROR(VLOOKUP($E50,'Ref tables'!$G$4:$I$9,3,0),0)</f>
        <v>0</v>
      </c>
      <c r="H50" s="67">
        <f t="shared" si="4"/>
        <v>0</v>
      </c>
      <c r="I50" s="68">
        <f t="shared" si="5"/>
        <v>0</v>
      </c>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6"/>
      <c r="BC50" s="26"/>
      <c r="BD50" s="26"/>
      <c r="BE50" s="26"/>
      <c r="BF50" s="26"/>
      <c r="BG50" s="26"/>
      <c r="BH50" s="26"/>
      <c r="BI50" s="26"/>
      <c r="BJ50" s="26"/>
      <c r="BK50" s="27"/>
    </row>
    <row r="51" spans="2:63" s="202" customFormat="1" ht="15.5">
      <c r="B51" s="249" t="s">
        <v>53</v>
      </c>
      <c r="C51" s="246">
        <v>25</v>
      </c>
      <c r="D51" s="246">
        <v>26</v>
      </c>
      <c r="E51" s="246"/>
      <c r="F51" s="246"/>
      <c r="G51" s="245"/>
      <c r="H51" s="245">
        <v>27</v>
      </c>
      <c r="I51" s="245">
        <v>28</v>
      </c>
      <c r="J51" s="245"/>
      <c r="K51" s="245"/>
      <c r="L51" s="245"/>
      <c r="M51" s="245"/>
      <c r="N51" s="245"/>
      <c r="O51" s="245"/>
      <c r="P51" s="245"/>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c r="AV51" s="245"/>
      <c r="AW51" s="245"/>
      <c r="AX51" s="245"/>
      <c r="AY51" s="245"/>
      <c r="AZ51" s="245"/>
      <c r="BA51" s="245"/>
      <c r="BB51" s="247"/>
      <c r="BC51" s="247"/>
      <c r="BD51" s="247"/>
      <c r="BE51" s="247"/>
      <c r="BF51" s="247"/>
      <c r="BG51" s="247"/>
      <c r="BH51" s="247"/>
      <c r="BI51" s="247"/>
      <c r="BJ51" s="247"/>
      <c r="BK51" s="248"/>
    </row>
    <row r="52" spans="2:63" ht="15.5">
      <c r="B52" s="25"/>
      <c r="C52" s="24">
        <f>SUM(C56:C65)</f>
        <v>0</v>
      </c>
      <c r="D52" s="24">
        <f t="shared" ref="D52:I52" si="6">SUM(D56:D65)</f>
        <v>0</v>
      </c>
      <c r="E52" s="24">
        <f t="shared" si="6"/>
        <v>0</v>
      </c>
      <c r="F52" s="24">
        <f t="shared" si="6"/>
        <v>0</v>
      </c>
      <c r="G52" s="24">
        <f t="shared" si="6"/>
        <v>0</v>
      </c>
      <c r="H52" s="24">
        <f t="shared" si="6"/>
        <v>0</v>
      </c>
      <c r="I52" s="24">
        <f t="shared" si="6"/>
        <v>0</v>
      </c>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6"/>
      <c r="BC52" s="26"/>
      <c r="BD52" s="26"/>
      <c r="BE52" s="26"/>
      <c r="BF52" s="26"/>
      <c r="BG52" s="26"/>
      <c r="BH52" s="26"/>
      <c r="BI52" s="26"/>
      <c r="BJ52" s="26"/>
      <c r="BK52" s="27"/>
    </row>
    <row r="53" spans="2:63" ht="15.5">
      <c r="B53" s="146"/>
      <c r="C53" s="320" t="s">
        <v>4</v>
      </c>
      <c r="D53" s="321"/>
      <c r="E53" s="321"/>
      <c r="F53" s="321"/>
      <c r="G53" s="321"/>
      <c r="H53" s="321"/>
      <c r="I53" s="322"/>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6"/>
      <c r="BC53" s="26"/>
      <c r="BD53" s="26"/>
      <c r="BE53" s="26"/>
      <c r="BF53" s="26"/>
      <c r="BG53" s="26"/>
      <c r="BH53" s="26"/>
      <c r="BI53" s="26"/>
      <c r="BJ53" s="26"/>
      <c r="BK53" s="27"/>
    </row>
    <row r="54" spans="2:63" ht="15.5">
      <c r="B54" s="151"/>
      <c r="C54" s="328" t="s">
        <v>17</v>
      </c>
      <c r="D54" s="324"/>
      <c r="E54" s="324"/>
      <c r="F54" s="324"/>
      <c r="G54" s="324"/>
      <c r="H54" s="324"/>
      <c r="I54" s="3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6"/>
      <c r="BC54" s="26"/>
      <c r="BD54" s="26"/>
      <c r="BE54" s="26"/>
      <c r="BF54" s="26"/>
      <c r="BG54" s="26"/>
      <c r="BH54" s="26"/>
      <c r="BI54" s="26"/>
      <c r="BJ54" s="26"/>
      <c r="BK54" s="27"/>
    </row>
    <row r="55" spans="2:63" ht="78">
      <c r="B55" s="152" t="s">
        <v>20</v>
      </c>
      <c r="C55" s="55" t="s">
        <v>36</v>
      </c>
      <c r="D55" s="53" t="s">
        <v>37</v>
      </c>
      <c r="E55" s="53" t="s">
        <v>62</v>
      </c>
      <c r="F55" s="54" t="s">
        <v>56</v>
      </c>
      <c r="G55" s="54" t="s">
        <v>57</v>
      </c>
      <c r="H55" s="53" t="s">
        <v>60</v>
      </c>
      <c r="I55" s="56" t="s">
        <v>25</v>
      </c>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6"/>
      <c r="BC55" s="26"/>
      <c r="BD55" s="26"/>
      <c r="BE55" s="26"/>
      <c r="BF55" s="26"/>
      <c r="BG55" s="26"/>
      <c r="BH55" s="26"/>
      <c r="BI55" s="26"/>
      <c r="BJ55" s="26"/>
      <c r="BK55" s="27"/>
    </row>
    <row r="56" spans="2:63" ht="15.5">
      <c r="B56" s="153">
        <v>1</v>
      </c>
      <c r="C56" s="154"/>
      <c r="D56" s="148"/>
      <c r="E56" s="148"/>
      <c r="F56" s="149">
        <f>IFERROR(VLOOKUP($E56,'Ref tables'!$L$4:$N$7,2,0),0)</f>
        <v>0</v>
      </c>
      <c r="G56" s="149">
        <f>IFERROR(VLOOKUP($E56,'Ref tables'!$L$4:$N$7,3,0),0)</f>
        <v>0</v>
      </c>
      <c r="H56" s="67">
        <f>F56*C56</f>
        <v>0</v>
      </c>
      <c r="I56" s="68">
        <f>C56*G56</f>
        <v>0</v>
      </c>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6"/>
      <c r="BC56" s="26"/>
      <c r="BD56" s="26"/>
      <c r="BE56" s="26"/>
      <c r="BF56" s="26"/>
      <c r="BG56" s="26"/>
      <c r="BH56" s="26"/>
      <c r="BI56" s="26"/>
      <c r="BJ56" s="26"/>
      <c r="BK56" s="27"/>
    </row>
    <row r="57" spans="2:63" ht="15.5">
      <c r="B57" s="153">
        <v>2</v>
      </c>
      <c r="C57" s="154"/>
      <c r="D57" s="148"/>
      <c r="E57" s="148"/>
      <c r="F57" s="149">
        <f>IFERROR(VLOOKUP($E57,'Ref tables'!$L$4:$N$7,2,0),0)</f>
        <v>0</v>
      </c>
      <c r="G57" s="149">
        <f>IFERROR(VLOOKUP($E57,'Ref tables'!$L$4:$N$7,3,0),0)</f>
        <v>0</v>
      </c>
      <c r="H57" s="67">
        <f t="shared" ref="H57:H65" si="7">F57*C57</f>
        <v>0</v>
      </c>
      <c r="I57" s="68">
        <f t="shared" ref="I57:I65" si="8">C57*G57</f>
        <v>0</v>
      </c>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6"/>
      <c r="BC57" s="26"/>
      <c r="BD57" s="26"/>
      <c r="BE57" s="26"/>
      <c r="BF57" s="26"/>
      <c r="BG57" s="26"/>
      <c r="BH57" s="26"/>
      <c r="BI57" s="26"/>
      <c r="BJ57" s="26"/>
      <c r="BK57" s="27"/>
    </row>
    <row r="58" spans="2:63" ht="15.5">
      <c r="B58" s="153">
        <v>3</v>
      </c>
      <c r="C58" s="154"/>
      <c r="D58" s="148"/>
      <c r="E58" s="148"/>
      <c r="F58" s="149">
        <f>IFERROR(VLOOKUP($E58,'Ref tables'!$L$4:$N$7,2,0),0)</f>
        <v>0</v>
      </c>
      <c r="G58" s="149">
        <f>IFERROR(VLOOKUP($E58,'Ref tables'!$L$4:$N$7,3,0),0)</f>
        <v>0</v>
      </c>
      <c r="H58" s="67">
        <f t="shared" si="7"/>
        <v>0</v>
      </c>
      <c r="I58" s="68">
        <f t="shared" si="8"/>
        <v>0</v>
      </c>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6"/>
      <c r="BC58" s="26"/>
      <c r="BD58" s="26"/>
      <c r="BE58" s="26"/>
      <c r="BF58" s="26"/>
      <c r="BG58" s="26"/>
      <c r="BH58" s="26"/>
      <c r="BI58" s="26"/>
      <c r="BJ58" s="26"/>
      <c r="BK58" s="27"/>
    </row>
    <row r="59" spans="2:63" ht="15.5">
      <c r="B59" s="153">
        <v>4</v>
      </c>
      <c r="C59" s="154"/>
      <c r="D59" s="148"/>
      <c r="E59" s="148"/>
      <c r="F59" s="149">
        <f>IFERROR(VLOOKUP($E59,'Ref tables'!$L$4:$N$7,2,0),0)</f>
        <v>0</v>
      </c>
      <c r="G59" s="149">
        <f>IFERROR(VLOOKUP($E59,'Ref tables'!$L$4:$N$7,3,0),0)</f>
        <v>0</v>
      </c>
      <c r="H59" s="67">
        <f t="shared" si="7"/>
        <v>0</v>
      </c>
      <c r="I59" s="68">
        <f t="shared" si="8"/>
        <v>0</v>
      </c>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6"/>
      <c r="BC59" s="26"/>
      <c r="BD59" s="26"/>
      <c r="BE59" s="26"/>
      <c r="BF59" s="26"/>
      <c r="BG59" s="26"/>
      <c r="BH59" s="26"/>
      <c r="BI59" s="26"/>
      <c r="BJ59" s="26"/>
      <c r="BK59" s="27"/>
    </row>
    <row r="60" spans="2:63" ht="15.5">
      <c r="B60" s="153">
        <v>5</v>
      </c>
      <c r="C60" s="154"/>
      <c r="D60" s="148"/>
      <c r="E60" s="148"/>
      <c r="F60" s="149">
        <f>IFERROR(VLOOKUP($E60,'Ref tables'!$L$4:$N$7,2,0),0)</f>
        <v>0</v>
      </c>
      <c r="G60" s="149">
        <f>IFERROR(VLOOKUP($E60,'Ref tables'!$L$4:$N$7,3,0),0)</f>
        <v>0</v>
      </c>
      <c r="H60" s="67">
        <f t="shared" si="7"/>
        <v>0</v>
      </c>
      <c r="I60" s="68">
        <f t="shared" si="8"/>
        <v>0</v>
      </c>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6"/>
      <c r="BC60" s="26"/>
      <c r="BD60" s="26"/>
      <c r="BE60" s="26"/>
      <c r="BF60" s="26"/>
      <c r="BG60" s="26"/>
      <c r="BH60" s="26"/>
      <c r="BI60" s="26"/>
      <c r="BJ60" s="26"/>
      <c r="BK60" s="27"/>
    </row>
    <row r="61" spans="2:63" ht="15.5">
      <c r="B61" s="153">
        <v>6</v>
      </c>
      <c r="C61" s="154"/>
      <c r="D61" s="148"/>
      <c r="E61" s="148"/>
      <c r="F61" s="149">
        <f>IFERROR(VLOOKUP($E61,'Ref tables'!$L$4:$N$7,2,0),0)</f>
        <v>0</v>
      </c>
      <c r="G61" s="149">
        <f>IFERROR(VLOOKUP($E61,'Ref tables'!$L$4:$N$7,3,0),0)</f>
        <v>0</v>
      </c>
      <c r="H61" s="67">
        <f t="shared" si="7"/>
        <v>0</v>
      </c>
      <c r="I61" s="68">
        <f t="shared" si="8"/>
        <v>0</v>
      </c>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6"/>
      <c r="BC61" s="26"/>
      <c r="BD61" s="26"/>
      <c r="BE61" s="26"/>
      <c r="BF61" s="26"/>
      <c r="BG61" s="26"/>
      <c r="BH61" s="26"/>
      <c r="BI61" s="26"/>
      <c r="BJ61" s="26"/>
      <c r="BK61" s="27"/>
    </row>
    <row r="62" spans="2:63" ht="15.5">
      <c r="B62" s="153">
        <v>7</v>
      </c>
      <c r="C62" s="154"/>
      <c r="D62" s="148"/>
      <c r="E62" s="148"/>
      <c r="F62" s="149">
        <f>IFERROR(VLOOKUP($E62,'Ref tables'!$L$4:$N$7,2,0),0)</f>
        <v>0</v>
      </c>
      <c r="G62" s="149">
        <f>IFERROR(VLOOKUP($E62,'Ref tables'!$L$4:$N$7,3,0),0)</f>
        <v>0</v>
      </c>
      <c r="H62" s="67">
        <f t="shared" si="7"/>
        <v>0</v>
      </c>
      <c r="I62" s="68">
        <f t="shared" si="8"/>
        <v>0</v>
      </c>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6"/>
      <c r="BC62" s="26"/>
      <c r="BD62" s="26"/>
      <c r="BE62" s="26"/>
      <c r="BF62" s="26"/>
      <c r="BG62" s="26"/>
      <c r="BH62" s="26"/>
      <c r="BI62" s="26"/>
      <c r="BJ62" s="26"/>
      <c r="BK62" s="27"/>
    </row>
    <row r="63" spans="2:63" ht="15.5">
      <c r="B63" s="153">
        <v>8</v>
      </c>
      <c r="C63" s="154"/>
      <c r="D63" s="148"/>
      <c r="E63" s="148"/>
      <c r="F63" s="149">
        <f>IFERROR(VLOOKUP($E63,'Ref tables'!$L$4:$N$7,2,0),0)</f>
        <v>0</v>
      </c>
      <c r="G63" s="149">
        <f>IFERROR(VLOOKUP($E63,'Ref tables'!$L$4:$N$7,3,0),0)</f>
        <v>0</v>
      </c>
      <c r="H63" s="67">
        <f t="shared" si="7"/>
        <v>0</v>
      </c>
      <c r="I63" s="68">
        <f t="shared" si="8"/>
        <v>0</v>
      </c>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6"/>
      <c r="BC63" s="26"/>
      <c r="BD63" s="26"/>
      <c r="BE63" s="26"/>
      <c r="BF63" s="26"/>
      <c r="BG63" s="26"/>
      <c r="BH63" s="26"/>
      <c r="BI63" s="26"/>
      <c r="BJ63" s="26"/>
      <c r="BK63" s="27"/>
    </row>
    <row r="64" spans="2:63" ht="15.5">
      <c r="B64" s="153">
        <v>9</v>
      </c>
      <c r="C64" s="154"/>
      <c r="D64" s="148"/>
      <c r="E64" s="148"/>
      <c r="F64" s="149">
        <f>IFERROR(VLOOKUP($E64,'Ref tables'!$L$4:$N$7,2,0),0)</f>
        <v>0</v>
      </c>
      <c r="G64" s="149">
        <f>IFERROR(VLOOKUP($E64,'Ref tables'!$L$4:$N$7,3,0),0)</f>
        <v>0</v>
      </c>
      <c r="H64" s="67">
        <f t="shared" si="7"/>
        <v>0</v>
      </c>
      <c r="I64" s="68">
        <f t="shared" si="8"/>
        <v>0</v>
      </c>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6"/>
      <c r="BC64" s="26"/>
      <c r="BD64" s="26"/>
      <c r="BE64" s="26"/>
      <c r="BF64" s="26"/>
      <c r="BG64" s="26"/>
      <c r="BH64" s="26"/>
      <c r="BI64" s="26"/>
      <c r="BJ64" s="26"/>
      <c r="BK64" s="27"/>
    </row>
    <row r="65" spans="2:63" ht="15.5">
      <c r="B65" s="296">
        <v>10</v>
      </c>
      <c r="C65" s="154"/>
      <c r="D65" s="148"/>
      <c r="E65" s="148"/>
      <c r="F65" s="149">
        <f>IFERROR(VLOOKUP($E65,'Ref tables'!$L$4:$N$7,2,0),0)</f>
        <v>0</v>
      </c>
      <c r="G65" s="149">
        <f>IFERROR(VLOOKUP($E65,'Ref tables'!$L$4:$N$7,3,0),0)</f>
        <v>0</v>
      </c>
      <c r="H65" s="67">
        <f t="shared" si="7"/>
        <v>0</v>
      </c>
      <c r="I65" s="68">
        <f t="shared" si="8"/>
        <v>0</v>
      </c>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6"/>
      <c r="BC65" s="26"/>
      <c r="BD65" s="26"/>
      <c r="BE65" s="26"/>
      <c r="BF65" s="26"/>
      <c r="BG65" s="26"/>
      <c r="BH65" s="26"/>
      <c r="BI65" s="26"/>
      <c r="BJ65" s="26"/>
      <c r="BK65" s="27"/>
    </row>
    <row r="66" spans="2:63" s="202" customFormat="1" ht="15.5">
      <c r="B66" s="249" t="s">
        <v>53</v>
      </c>
      <c r="C66" s="246">
        <v>29</v>
      </c>
      <c r="D66" s="246">
        <v>30</v>
      </c>
      <c r="E66" s="246"/>
      <c r="F66" s="246"/>
      <c r="G66" s="246"/>
      <c r="H66" s="246">
        <v>31</v>
      </c>
      <c r="I66" s="246">
        <v>32</v>
      </c>
      <c r="J66" s="245"/>
      <c r="K66" s="245"/>
      <c r="L66" s="245"/>
      <c r="M66" s="245"/>
      <c r="N66" s="245"/>
      <c r="O66" s="245"/>
      <c r="P66" s="245"/>
      <c r="Q66" s="245"/>
      <c r="R66" s="245"/>
      <c r="S66" s="245"/>
      <c r="T66" s="245"/>
      <c r="U66" s="245"/>
      <c r="V66" s="245"/>
      <c r="W66" s="245"/>
      <c r="X66" s="245"/>
      <c r="Y66" s="245"/>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5"/>
      <c r="BA66" s="245"/>
      <c r="BB66" s="247"/>
      <c r="BC66" s="247"/>
      <c r="BD66" s="247"/>
      <c r="BE66" s="247"/>
      <c r="BF66" s="247"/>
      <c r="BG66" s="247"/>
      <c r="BH66" s="247"/>
      <c r="BI66" s="247"/>
      <c r="BJ66" s="247"/>
      <c r="BK66" s="248"/>
    </row>
    <row r="67" spans="2:63" ht="15.5">
      <c r="B67" s="25"/>
      <c r="C67" s="24">
        <f>SUM(C71:C80)</f>
        <v>0</v>
      </c>
      <c r="D67" s="24">
        <f t="shared" ref="D67:I67" si="9">SUM(D71:D80)</f>
        <v>0</v>
      </c>
      <c r="E67" s="24">
        <f t="shared" si="9"/>
        <v>0</v>
      </c>
      <c r="F67" s="24">
        <f t="shared" si="9"/>
        <v>0</v>
      </c>
      <c r="G67" s="24">
        <f t="shared" si="9"/>
        <v>0</v>
      </c>
      <c r="H67" s="24">
        <f t="shared" si="9"/>
        <v>0</v>
      </c>
      <c r="I67" s="24">
        <f t="shared" si="9"/>
        <v>0</v>
      </c>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6"/>
      <c r="BC67" s="26"/>
      <c r="BD67" s="26"/>
      <c r="BE67" s="26"/>
      <c r="BF67" s="26"/>
      <c r="BG67" s="26"/>
      <c r="BH67" s="26"/>
      <c r="BI67" s="26"/>
      <c r="BJ67" s="26"/>
      <c r="BK67" s="27"/>
    </row>
    <row r="68" spans="2:63" ht="15.5">
      <c r="B68" s="146"/>
      <c r="C68" s="320" t="s">
        <v>5</v>
      </c>
      <c r="D68" s="321"/>
      <c r="E68" s="321"/>
      <c r="F68" s="321"/>
      <c r="G68" s="321"/>
      <c r="H68" s="321"/>
      <c r="I68" s="322"/>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6"/>
      <c r="BC68" s="26"/>
      <c r="BD68" s="26"/>
      <c r="BE68" s="26"/>
      <c r="BF68" s="26"/>
      <c r="BG68" s="26"/>
      <c r="BH68" s="26"/>
      <c r="BI68" s="26"/>
      <c r="BJ68" s="26"/>
      <c r="BK68" s="27"/>
    </row>
    <row r="69" spans="2:63" ht="15.5">
      <c r="B69" s="37"/>
      <c r="C69" s="323" t="s">
        <v>17</v>
      </c>
      <c r="D69" s="324"/>
      <c r="E69" s="324"/>
      <c r="F69" s="324"/>
      <c r="G69" s="324"/>
      <c r="H69" s="324"/>
      <c r="I69" s="3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6"/>
      <c r="BC69" s="26"/>
      <c r="BD69" s="26"/>
      <c r="BE69" s="26"/>
      <c r="BF69" s="26"/>
      <c r="BG69" s="26"/>
      <c r="BH69" s="26"/>
      <c r="BI69" s="26"/>
      <c r="BJ69" s="26"/>
      <c r="BK69" s="27"/>
    </row>
    <row r="70" spans="2:63" ht="78">
      <c r="B70" s="152" t="s">
        <v>20</v>
      </c>
      <c r="C70" s="55" t="s">
        <v>64</v>
      </c>
      <c r="D70" s="53" t="s">
        <v>65</v>
      </c>
      <c r="E70" s="53" t="s">
        <v>66</v>
      </c>
      <c r="F70" s="54" t="s">
        <v>56</v>
      </c>
      <c r="G70" s="54" t="s">
        <v>57</v>
      </c>
      <c r="H70" s="53" t="s">
        <v>60</v>
      </c>
      <c r="I70" s="56" t="s">
        <v>25</v>
      </c>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6"/>
      <c r="BC70" s="26"/>
      <c r="BD70" s="26"/>
      <c r="BE70" s="26"/>
      <c r="BF70" s="26"/>
      <c r="BG70" s="26"/>
      <c r="BH70" s="26"/>
      <c r="BI70" s="26"/>
      <c r="BJ70" s="26"/>
      <c r="BK70" s="27"/>
    </row>
    <row r="71" spans="2:63" ht="15.5">
      <c r="B71" s="153">
        <v>1</v>
      </c>
      <c r="C71" s="154"/>
      <c r="D71" s="148"/>
      <c r="E71" s="148"/>
      <c r="F71" s="149">
        <f>IFERROR(VLOOKUP($E71,'Ref tables'!$P$4:$R$17,2,0),0)</f>
        <v>0</v>
      </c>
      <c r="G71" s="149">
        <f>IFERROR(VLOOKUP($E71,'Ref tables'!$P$4:$R$17,3,0),0)</f>
        <v>0</v>
      </c>
      <c r="H71" s="67">
        <f>F71*C71</f>
        <v>0</v>
      </c>
      <c r="I71" s="68">
        <f>C71*G71</f>
        <v>0</v>
      </c>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6"/>
      <c r="BC71" s="26"/>
      <c r="BD71" s="26"/>
      <c r="BE71" s="26"/>
      <c r="BF71" s="26"/>
      <c r="BG71" s="26"/>
      <c r="BH71" s="26"/>
      <c r="BI71" s="26"/>
      <c r="BJ71" s="26"/>
      <c r="BK71" s="27"/>
    </row>
    <row r="72" spans="2:63" ht="15.5">
      <c r="B72" s="153">
        <v>2</v>
      </c>
      <c r="C72" s="154"/>
      <c r="D72" s="148"/>
      <c r="E72" s="148"/>
      <c r="F72" s="149">
        <f>IFERROR(VLOOKUP($E72,'Ref tables'!$P$4:$R$17,2,0),0)</f>
        <v>0</v>
      </c>
      <c r="G72" s="149">
        <f>IFERROR(VLOOKUP($E72,'Ref tables'!$P$4:$R$17,3,0),0)</f>
        <v>0</v>
      </c>
      <c r="H72" s="67">
        <f t="shared" ref="H72:H80" si="10">F72*C72</f>
        <v>0</v>
      </c>
      <c r="I72" s="68">
        <f t="shared" ref="I72:I80" si="11">C72*G72</f>
        <v>0</v>
      </c>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6"/>
      <c r="BC72" s="26"/>
      <c r="BD72" s="26"/>
      <c r="BE72" s="26"/>
      <c r="BF72" s="26"/>
      <c r="BG72" s="26"/>
      <c r="BH72" s="26"/>
      <c r="BI72" s="26"/>
      <c r="BJ72" s="26"/>
      <c r="BK72" s="27"/>
    </row>
    <row r="73" spans="2:63" ht="15.5">
      <c r="B73" s="153">
        <v>3</v>
      </c>
      <c r="C73" s="154"/>
      <c r="D73" s="148"/>
      <c r="E73" s="148"/>
      <c r="F73" s="149">
        <f>IFERROR(VLOOKUP($E73,'Ref tables'!$P$4:$R$17,2,0),0)</f>
        <v>0</v>
      </c>
      <c r="G73" s="149">
        <f>IFERROR(VLOOKUP($E73,'Ref tables'!$P$4:$R$17,3,0),0)</f>
        <v>0</v>
      </c>
      <c r="H73" s="67">
        <f t="shared" si="10"/>
        <v>0</v>
      </c>
      <c r="I73" s="68">
        <f t="shared" si="11"/>
        <v>0</v>
      </c>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6"/>
      <c r="BC73" s="26"/>
      <c r="BD73" s="26"/>
      <c r="BE73" s="26"/>
      <c r="BF73" s="26"/>
      <c r="BG73" s="26"/>
      <c r="BH73" s="26"/>
      <c r="BI73" s="26"/>
      <c r="BJ73" s="26"/>
      <c r="BK73" s="27"/>
    </row>
    <row r="74" spans="2:63" ht="15.5">
      <c r="B74" s="153">
        <v>4</v>
      </c>
      <c r="C74" s="154"/>
      <c r="D74" s="148"/>
      <c r="E74" s="148"/>
      <c r="F74" s="149">
        <f>IFERROR(VLOOKUP($E74,'Ref tables'!$P$4:$R$17,2,0),0)</f>
        <v>0</v>
      </c>
      <c r="G74" s="149">
        <f>IFERROR(VLOOKUP($E74,'Ref tables'!$P$4:$R$17,3,0),0)</f>
        <v>0</v>
      </c>
      <c r="H74" s="67">
        <f t="shared" si="10"/>
        <v>0</v>
      </c>
      <c r="I74" s="68">
        <f t="shared" si="11"/>
        <v>0</v>
      </c>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6"/>
      <c r="BC74" s="26"/>
      <c r="BD74" s="26"/>
      <c r="BE74" s="26"/>
      <c r="BF74" s="26"/>
      <c r="BG74" s="26"/>
      <c r="BH74" s="26"/>
      <c r="BI74" s="26"/>
      <c r="BJ74" s="26"/>
      <c r="BK74" s="27"/>
    </row>
    <row r="75" spans="2:63" ht="15.5">
      <c r="B75" s="153">
        <v>5</v>
      </c>
      <c r="C75" s="154"/>
      <c r="D75" s="148"/>
      <c r="E75" s="148"/>
      <c r="F75" s="149">
        <f>IFERROR(VLOOKUP($E75,'Ref tables'!$P$4:$R$17,2,0),0)</f>
        <v>0</v>
      </c>
      <c r="G75" s="149">
        <f>IFERROR(VLOOKUP($E75,'Ref tables'!$P$4:$R$17,3,0),0)</f>
        <v>0</v>
      </c>
      <c r="H75" s="67">
        <f t="shared" si="10"/>
        <v>0</v>
      </c>
      <c r="I75" s="68">
        <f t="shared" si="11"/>
        <v>0</v>
      </c>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6"/>
      <c r="BC75" s="26"/>
      <c r="BD75" s="26"/>
      <c r="BE75" s="26"/>
      <c r="BF75" s="26"/>
      <c r="BG75" s="26"/>
      <c r="BH75" s="26"/>
      <c r="BI75" s="26"/>
      <c r="BJ75" s="26"/>
      <c r="BK75" s="27"/>
    </row>
    <row r="76" spans="2:63" ht="15.5">
      <c r="B76" s="153">
        <v>6</v>
      </c>
      <c r="C76" s="154"/>
      <c r="D76" s="148"/>
      <c r="E76" s="148"/>
      <c r="F76" s="149">
        <f>IFERROR(VLOOKUP($E76,'Ref tables'!$P$4:$R$17,2,0),0)</f>
        <v>0</v>
      </c>
      <c r="G76" s="149">
        <f>IFERROR(VLOOKUP($E76,'Ref tables'!$P$4:$R$17,3,0),0)</f>
        <v>0</v>
      </c>
      <c r="H76" s="67">
        <f t="shared" si="10"/>
        <v>0</v>
      </c>
      <c r="I76" s="68">
        <f t="shared" si="11"/>
        <v>0</v>
      </c>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6"/>
      <c r="BC76" s="26"/>
      <c r="BD76" s="26"/>
      <c r="BE76" s="26"/>
      <c r="BF76" s="26"/>
      <c r="BG76" s="26"/>
      <c r="BH76" s="26"/>
      <c r="BI76" s="26"/>
      <c r="BJ76" s="26"/>
      <c r="BK76" s="27"/>
    </row>
    <row r="77" spans="2:63" ht="15.5">
      <c r="B77" s="153">
        <v>7</v>
      </c>
      <c r="C77" s="154"/>
      <c r="D77" s="148"/>
      <c r="E77" s="148"/>
      <c r="F77" s="149">
        <f>IFERROR(VLOOKUP($E77,'Ref tables'!$P$4:$R$17,2,0),0)</f>
        <v>0</v>
      </c>
      <c r="G77" s="149">
        <f>IFERROR(VLOOKUP($E77,'Ref tables'!$P$4:$R$17,3,0),0)</f>
        <v>0</v>
      </c>
      <c r="H77" s="67">
        <f t="shared" si="10"/>
        <v>0</v>
      </c>
      <c r="I77" s="68">
        <f t="shared" si="11"/>
        <v>0</v>
      </c>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6"/>
      <c r="BC77" s="26"/>
      <c r="BD77" s="26"/>
      <c r="BE77" s="26"/>
      <c r="BF77" s="26"/>
      <c r="BG77" s="26"/>
      <c r="BH77" s="26"/>
      <c r="BI77" s="26"/>
      <c r="BJ77" s="26"/>
      <c r="BK77" s="27"/>
    </row>
    <row r="78" spans="2:63" ht="15.5">
      <c r="B78" s="153">
        <v>8</v>
      </c>
      <c r="C78" s="154"/>
      <c r="D78" s="148"/>
      <c r="E78" s="148"/>
      <c r="F78" s="149">
        <f>IFERROR(VLOOKUP($E78,'Ref tables'!$P$4:$R$17,2,0),0)</f>
        <v>0</v>
      </c>
      <c r="G78" s="149">
        <f>IFERROR(VLOOKUP($E78,'Ref tables'!$P$4:$R$17,3,0),0)</f>
        <v>0</v>
      </c>
      <c r="H78" s="67">
        <f t="shared" si="10"/>
        <v>0</v>
      </c>
      <c r="I78" s="68">
        <f t="shared" si="11"/>
        <v>0</v>
      </c>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6"/>
      <c r="BC78" s="26"/>
      <c r="BD78" s="26"/>
      <c r="BE78" s="26"/>
      <c r="BF78" s="26"/>
      <c r="BG78" s="26"/>
      <c r="BH78" s="26"/>
      <c r="BI78" s="26"/>
      <c r="BJ78" s="26"/>
      <c r="BK78" s="27"/>
    </row>
    <row r="79" spans="2:63" ht="15.5">
      <c r="B79" s="153">
        <v>9</v>
      </c>
      <c r="C79" s="154"/>
      <c r="D79" s="148"/>
      <c r="E79" s="148"/>
      <c r="F79" s="149">
        <f>IFERROR(VLOOKUP($E79,'Ref tables'!$P$4:$R$17,2,0),0)</f>
        <v>0</v>
      </c>
      <c r="G79" s="149">
        <f>IFERROR(VLOOKUP($E79,'Ref tables'!$P$4:$R$17,3,0),0)</f>
        <v>0</v>
      </c>
      <c r="H79" s="67">
        <f t="shared" si="10"/>
        <v>0</v>
      </c>
      <c r="I79" s="68">
        <f t="shared" si="11"/>
        <v>0</v>
      </c>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6"/>
      <c r="BC79" s="26"/>
      <c r="BD79" s="26"/>
      <c r="BE79" s="26"/>
      <c r="BF79" s="26"/>
      <c r="BG79" s="26"/>
      <c r="BH79" s="26"/>
      <c r="BI79" s="26"/>
      <c r="BJ79" s="26"/>
      <c r="BK79" s="27"/>
    </row>
    <row r="80" spans="2:63" ht="15.5">
      <c r="B80" s="296">
        <v>10</v>
      </c>
      <c r="C80" s="154"/>
      <c r="D80" s="148"/>
      <c r="E80" s="148"/>
      <c r="F80" s="149">
        <f>IFERROR(VLOOKUP($E80,'Ref tables'!$P$4:$R$17,2,0),0)</f>
        <v>0</v>
      </c>
      <c r="G80" s="149">
        <f>IFERROR(VLOOKUP($E80,'Ref tables'!$P$4:$R$17,3,0),0)</f>
        <v>0</v>
      </c>
      <c r="H80" s="67">
        <f t="shared" si="10"/>
        <v>0</v>
      </c>
      <c r="I80" s="68">
        <f t="shared" si="11"/>
        <v>0</v>
      </c>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6"/>
      <c r="BC80" s="26"/>
      <c r="BD80" s="26"/>
      <c r="BE80" s="26"/>
      <c r="BF80" s="26"/>
      <c r="BG80" s="26"/>
      <c r="BH80" s="26"/>
      <c r="BI80" s="26"/>
      <c r="BJ80" s="26"/>
      <c r="BK80" s="27"/>
    </row>
    <row r="81" spans="2:63" s="202" customFormat="1" ht="15.5">
      <c r="B81" s="249" t="s">
        <v>53</v>
      </c>
      <c r="C81" s="246">
        <v>41</v>
      </c>
      <c r="D81" s="246">
        <v>42</v>
      </c>
      <c r="E81" s="246"/>
      <c r="F81" s="246"/>
      <c r="G81" s="246"/>
      <c r="H81" s="246">
        <v>43</v>
      </c>
      <c r="I81" s="246">
        <v>44</v>
      </c>
      <c r="J81" s="245"/>
      <c r="K81" s="245"/>
      <c r="L81" s="245"/>
      <c r="M81" s="245"/>
      <c r="N81" s="245"/>
      <c r="O81" s="245"/>
      <c r="P81" s="245"/>
      <c r="Q81" s="245"/>
      <c r="R81" s="245"/>
      <c r="S81" s="245"/>
      <c r="T81" s="245"/>
      <c r="U81" s="245"/>
      <c r="V81" s="245"/>
      <c r="W81" s="245"/>
      <c r="X81" s="245"/>
      <c r="Y81" s="245"/>
      <c r="Z81" s="245"/>
      <c r="AA81" s="245"/>
      <c r="AB81" s="245"/>
      <c r="AC81" s="245"/>
      <c r="AD81" s="245"/>
      <c r="AE81" s="245"/>
      <c r="AF81" s="245"/>
      <c r="AG81" s="245"/>
      <c r="AH81" s="245"/>
      <c r="AI81" s="245"/>
      <c r="AJ81" s="245"/>
      <c r="AK81" s="245"/>
      <c r="AL81" s="245"/>
      <c r="AM81" s="245"/>
      <c r="AN81" s="245"/>
      <c r="AO81" s="245"/>
      <c r="AP81" s="245"/>
      <c r="AQ81" s="245"/>
      <c r="AR81" s="245"/>
      <c r="AS81" s="245"/>
      <c r="AT81" s="245"/>
      <c r="AU81" s="245"/>
      <c r="AV81" s="245"/>
      <c r="AW81" s="245"/>
      <c r="AX81" s="245"/>
      <c r="AY81" s="245"/>
      <c r="AZ81" s="245"/>
      <c r="BA81" s="245"/>
      <c r="BB81" s="247"/>
      <c r="BC81" s="247"/>
      <c r="BD81" s="247"/>
      <c r="BE81" s="247"/>
      <c r="BF81" s="247"/>
      <c r="BG81" s="247"/>
      <c r="BH81" s="247"/>
      <c r="BI81" s="247"/>
      <c r="BJ81" s="247"/>
      <c r="BK81" s="248"/>
    </row>
    <row r="82" spans="2:63" ht="15.5">
      <c r="B82" s="25"/>
      <c r="C82" s="24">
        <f t="shared" ref="C82:I82" si="12">SUM(C86:C95)</f>
        <v>0</v>
      </c>
      <c r="D82" s="24">
        <f t="shared" si="12"/>
        <v>0</v>
      </c>
      <c r="E82" s="24">
        <f t="shared" si="12"/>
        <v>0</v>
      </c>
      <c r="F82" s="24">
        <f t="shared" si="12"/>
        <v>0</v>
      </c>
      <c r="G82" s="24">
        <f t="shared" si="12"/>
        <v>0</v>
      </c>
      <c r="H82" s="24">
        <f t="shared" si="12"/>
        <v>0</v>
      </c>
      <c r="I82" s="24">
        <f t="shared" si="12"/>
        <v>0</v>
      </c>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6"/>
      <c r="BC82" s="26"/>
      <c r="BD82" s="26"/>
      <c r="BE82" s="26"/>
      <c r="BF82" s="26"/>
      <c r="BG82" s="26"/>
      <c r="BH82" s="26"/>
      <c r="BI82" s="26"/>
      <c r="BJ82" s="26"/>
      <c r="BK82" s="27"/>
    </row>
    <row r="83" spans="2:63" ht="15.5">
      <c r="B83" s="146"/>
      <c r="C83" s="320" t="s">
        <v>68</v>
      </c>
      <c r="D83" s="321"/>
      <c r="E83" s="321"/>
      <c r="F83" s="321"/>
      <c r="G83" s="321"/>
      <c r="H83" s="321"/>
      <c r="I83" s="322"/>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6"/>
      <c r="BC83" s="26"/>
      <c r="BD83" s="26"/>
      <c r="BE83" s="26"/>
      <c r="BF83" s="26"/>
      <c r="BG83" s="26"/>
      <c r="BH83" s="26"/>
      <c r="BI83" s="26"/>
      <c r="BJ83" s="26"/>
      <c r="BK83" s="27"/>
    </row>
    <row r="84" spans="2:63" ht="15.5">
      <c r="B84" s="37"/>
      <c r="C84" s="323" t="s">
        <v>17</v>
      </c>
      <c r="D84" s="324"/>
      <c r="E84" s="324"/>
      <c r="F84" s="324"/>
      <c r="G84" s="324"/>
      <c r="H84" s="324"/>
      <c r="I84" s="3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6"/>
      <c r="BC84" s="26"/>
      <c r="BD84" s="26"/>
      <c r="BE84" s="26"/>
      <c r="BF84" s="26"/>
      <c r="BG84" s="26"/>
      <c r="BH84" s="26"/>
      <c r="BI84" s="26"/>
      <c r="BJ84" s="26"/>
      <c r="BK84" s="27"/>
    </row>
    <row r="85" spans="2:63" ht="78">
      <c r="B85" s="152" t="s">
        <v>20</v>
      </c>
      <c r="C85" s="52" t="s">
        <v>69</v>
      </c>
      <c r="D85" s="53" t="s">
        <v>70</v>
      </c>
      <c r="E85" s="53" t="s">
        <v>66</v>
      </c>
      <c r="F85" s="54" t="s">
        <v>56</v>
      </c>
      <c r="G85" s="54" t="s">
        <v>57</v>
      </c>
      <c r="H85" s="53" t="s">
        <v>60</v>
      </c>
      <c r="I85" s="56" t="s">
        <v>25</v>
      </c>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6"/>
      <c r="BC85" s="26"/>
      <c r="BD85" s="26"/>
      <c r="BE85" s="26"/>
      <c r="BF85" s="26"/>
      <c r="BG85" s="26"/>
      <c r="BH85" s="26"/>
      <c r="BI85" s="26"/>
      <c r="BJ85" s="26"/>
      <c r="BK85" s="27"/>
    </row>
    <row r="86" spans="2:63" ht="15.5">
      <c r="B86" s="153">
        <v>1</v>
      </c>
      <c r="C86" s="154"/>
      <c r="D86" s="148"/>
      <c r="E86" s="148"/>
      <c r="F86" s="149">
        <f>IFERROR(VLOOKUP($E86,'Ref tables'!$T$4:$V$17,2,0),0)</f>
        <v>0</v>
      </c>
      <c r="G86" s="149">
        <f>IFERROR(VLOOKUP($E86,'Ref tables'!$T$4:$V$17,3,0),0)</f>
        <v>0</v>
      </c>
      <c r="H86" s="67">
        <f>F86*C86</f>
        <v>0</v>
      </c>
      <c r="I86" s="68">
        <f>C86*G86</f>
        <v>0</v>
      </c>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6"/>
      <c r="BC86" s="26"/>
      <c r="BD86" s="26"/>
      <c r="BE86" s="26"/>
      <c r="BF86" s="26"/>
      <c r="BG86" s="26"/>
      <c r="BH86" s="26"/>
      <c r="BI86" s="26"/>
      <c r="BJ86" s="26"/>
      <c r="BK86" s="27"/>
    </row>
    <row r="87" spans="2:63" ht="15.5">
      <c r="B87" s="153">
        <v>2</v>
      </c>
      <c r="C87" s="154"/>
      <c r="D87" s="148"/>
      <c r="E87" s="148"/>
      <c r="F87" s="149">
        <f>IFERROR(VLOOKUP($E87,'Ref tables'!$T$4:$V$17,2,0),0)</f>
        <v>0</v>
      </c>
      <c r="G87" s="149">
        <f>IFERROR(VLOOKUP($E87,'Ref tables'!$T$4:$V$17,3,0),0)</f>
        <v>0</v>
      </c>
      <c r="H87" s="67">
        <f t="shared" ref="H87:H95" si="13">F87*C87</f>
        <v>0</v>
      </c>
      <c r="I87" s="68">
        <f t="shared" ref="I87:I95" si="14">C87*G87</f>
        <v>0</v>
      </c>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6"/>
      <c r="BC87" s="26"/>
      <c r="BD87" s="26"/>
      <c r="BE87" s="26"/>
      <c r="BF87" s="26"/>
      <c r="BG87" s="26"/>
      <c r="BH87" s="26"/>
      <c r="BI87" s="26"/>
      <c r="BJ87" s="26"/>
      <c r="BK87" s="27"/>
    </row>
    <row r="88" spans="2:63" ht="15.5">
      <c r="B88" s="153">
        <v>3</v>
      </c>
      <c r="C88" s="154"/>
      <c r="D88" s="148"/>
      <c r="E88" s="148"/>
      <c r="F88" s="149">
        <f>IFERROR(VLOOKUP($E88,'Ref tables'!$T$4:$V$17,2,0),0)</f>
        <v>0</v>
      </c>
      <c r="G88" s="149">
        <f>IFERROR(VLOOKUP($E88,'Ref tables'!$T$4:$V$17,3,0),0)</f>
        <v>0</v>
      </c>
      <c r="H88" s="67">
        <f t="shared" si="13"/>
        <v>0</v>
      </c>
      <c r="I88" s="68">
        <f t="shared" si="14"/>
        <v>0</v>
      </c>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6"/>
      <c r="BC88" s="26"/>
      <c r="BD88" s="26"/>
      <c r="BE88" s="26"/>
      <c r="BF88" s="26"/>
      <c r="BG88" s="26"/>
      <c r="BH88" s="26"/>
      <c r="BI88" s="26"/>
      <c r="BJ88" s="26"/>
      <c r="BK88" s="27"/>
    </row>
    <row r="89" spans="2:63" ht="15.5">
      <c r="B89" s="153">
        <v>4</v>
      </c>
      <c r="C89" s="154"/>
      <c r="D89" s="148"/>
      <c r="E89" s="148"/>
      <c r="F89" s="149">
        <f>IFERROR(VLOOKUP($E89,'Ref tables'!$T$4:$V$17,2,0),0)</f>
        <v>0</v>
      </c>
      <c r="G89" s="149">
        <f>IFERROR(VLOOKUP($E89,'Ref tables'!$T$4:$V$17,3,0),0)</f>
        <v>0</v>
      </c>
      <c r="H89" s="67">
        <f t="shared" si="13"/>
        <v>0</v>
      </c>
      <c r="I89" s="68">
        <f t="shared" si="14"/>
        <v>0</v>
      </c>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6"/>
      <c r="BC89" s="26"/>
      <c r="BD89" s="26"/>
      <c r="BE89" s="26"/>
      <c r="BF89" s="26"/>
      <c r="BG89" s="26"/>
      <c r="BH89" s="26"/>
      <c r="BI89" s="26"/>
      <c r="BJ89" s="26"/>
      <c r="BK89" s="27"/>
    </row>
    <row r="90" spans="2:63" ht="15.5">
      <c r="B90" s="153">
        <v>5</v>
      </c>
      <c r="C90" s="154"/>
      <c r="D90" s="148"/>
      <c r="E90" s="148"/>
      <c r="F90" s="149">
        <f>IFERROR(VLOOKUP($E90,'Ref tables'!$T$4:$V$17,2,0),0)</f>
        <v>0</v>
      </c>
      <c r="G90" s="149">
        <f>IFERROR(VLOOKUP($E90,'Ref tables'!$T$4:$V$17,3,0),0)</f>
        <v>0</v>
      </c>
      <c r="H90" s="67">
        <f t="shared" si="13"/>
        <v>0</v>
      </c>
      <c r="I90" s="68">
        <f t="shared" si="14"/>
        <v>0</v>
      </c>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6"/>
      <c r="BC90" s="26"/>
      <c r="BD90" s="26"/>
      <c r="BE90" s="26"/>
      <c r="BF90" s="26"/>
      <c r="BG90" s="26"/>
      <c r="BH90" s="26"/>
      <c r="BI90" s="26"/>
      <c r="BJ90" s="26"/>
      <c r="BK90" s="27"/>
    </row>
    <row r="91" spans="2:63" ht="15.5">
      <c r="B91" s="153">
        <v>6</v>
      </c>
      <c r="C91" s="154"/>
      <c r="D91" s="148"/>
      <c r="E91" s="148"/>
      <c r="F91" s="149">
        <f>IFERROR(VLOOKUP($E91,'Ref tables'!$T$4:$V$17,2,0),0)</f>
        <v>0</v>
      </c>
      <c r="G91" s="149">
        <f>IFERROR(VLOOKUP($E91,'Ref tables'!$T$4:$V$17,3,0),0)</f>
        <v>0</v>
      </c>
      <c r="H91" s="67">
        <f t="shared" si="13"/>
        <v>0</v>
      </c>
      <c r="I91" s="68">
        <f t="shared" si="14"/>
        <v>0</v>
      </c>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6"/>
      <c r="BC91" s="26"/>
      <c r="BD91" s="26"/>
      <c r="BE91" s="26"/>
      <c r="BF91" s="26"/>
      <c r="BG91" s="26"/>
      <c r="BH91" s="26"/>
      <c r="BI91" s="26"/>
      <c r="BJ91" s="26"/>
      <c r="BK91" s="27"/>
    </row>
    <row r="92" spans="2:63" ht="15.5">
      <c r="B92" s="153">
        <v>7</v>
      </c>
      <c r="C92" s="154"/>
      <c r="D92" s="148"/>
      <c r="E92" s="148"/>
      <c r="F92" s="149">
        <f>IFERROR(VLOOKUP($E92,'Ref tables'!$T$4:$V$17,2,0),0)</f>
        <v>0</v>
      </c>
      <c r="G92" s="149">
        <f>IFERROR(VLOOKUP($E92,'Ref tables'!$T$4:$V$17,3,0),0)</f>
        <v>0</v>
      </c>
      <c r="H92" s="67">
        <f t="shared" si="13"/>
        <v>0</v>
      </c>
      <c r="I92" s="68">
        <f t="shared" si="14"/>
        <v>0</v>
      </c>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6"/>
      <c r="BC92" s="26"/>
      <c r="BD92" s="26"/>
      <c r="BE92" s="26"/>
      <c r="BF92" s="26"/>
      <c r="BG92" s="26"/>
      <c r="BH92" s="26"/>
      <c r="BI92" s="26"/>
      <c r="BJ92" s="26"/>
      <c r="BK92" s="27"/>
    </row>
    <row r="93" spans="2:63" ht="15.5">
      <c r="B93" s="153">
        <v>8</v>
      </c>
      <c r="C93" s="154"/>
      <c r="D93" s="148"/>
      <c r="E93" s="148"/>
      <c r="F93" s="149">
        <f>IFERROR(VLOOKUP($E93,'Ref tables'!$T$4:$V$17,2,0),0)</f>
        <v>0</v>
      </c>
      <c r="G93" s="149">
        <f>IFERROR(VLOOKUP($E93,'Ref tables'!$T$4:$V$17,3,0),0)</f>
        <v>0</v>
      </c>
      <c r="H93" s="67">
        <f t="shared" si="13"/>
        <v>0</v>
      </c>
      <c r="I93" s="68">
        <f t="shared" si="14"/>
        <v>0</v>
      </c>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6"/>
      <c r="BC93" s="26"/>
      <c r="BD93" s="26"/>
      <c r="BE93" s="26"/>
      <c r="BF93" s="26"/>
      <c r="BG93" s="26"/>
      <c r="BH93" s="26"/>
      <c r="BI93" s="26"/>
      <c r="BJ93" s="26"/>
      <c r="BK93" s="27"/>
    </row>
    <row r="94" spans="2:63" ht="15.5">
      <c r="B94" s="153">
        <v>9</v>
      </c>
      <c r="C94" s="154"/>
      <c r="D94" s="148"/>
      <c r="E94" s="148"/>
      <c r="F94" s="149">
        <f>IFERROR(VLOOKUP($E94,'Ref tables'!$T$4:$V$17,2,0),0)</f>
        <v>0</v>
      </c>
      <c r="G94" s="149">
        <f>IFERROR(VLOOKUP($E94,'Ref tables'!$T$4:$V$17,3,0),0)</f>
        <v>0</v>
      </c>
      <c r="H94" s="67">
        <f t="shared" si="13"/>
        <v>0</v>
      </c>
      <c r="I94" s="68">
        <f t="shared" si="14"/>
        <v>0</v>
      </c>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6"/>
      <c r="BC94" s="26"/>
      <c r="BD94" s="26"/>
      <c r="BE94" s="26"/>
      <c r="BF94" s="26"/>
      <c r="BG94" s="26"/>
      <c r="BH94" s="26"/>
      <c r="BI94" s="26"/>
      <c r="BJ94" s="26"/>
      <c r="BK94" s="27"/>
    </row>
    <row r="95" spans="2:63" ht="15.5">
      <c r="B95" s="296">
        <v>10</v>
      </c>
      <c r="C95" s="154"/>
      <c r="D95" s="148"/>
      <c r="E95" s="148"/>
      <c r="F95" s="149">
        <f>IFERROR(VLOOKUP($E95,'Ref tables'!$T$4:$V$17,2,0),0)</f>
        <v>0</v>
      </c>
      <c r="G95" s="149">
        <f>IFERROR(VLOOKUP($E95,'Ref tables'!$T$4:$V$17,3,0),0)</f>
        <v>0</v>
      </c>
      <c r="H95" s="67">
        <f t="shared" si="13"/>
        <v>0</v>
      </c>
      <c r="I95" s="68">
        <f t="shared" si="14"/>
        <v>0</v>
      </c>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6"/>
      <c r="BC95" s="26"/>
      <c r="BD95" s="26"/>
      <c r="BE95" s="26"/>
      <c r="BF95" s="26"/>
      <c r="BG95" s="26"/>
      <c r="BH95" s="26"/>
      <c r="BI95" s="26"/>
      <c r="BJ95" s="26"/>
      <c r="BK95" s="27"/>
    </row>
    <row r="96" spans="2:63" ht="15.5">
      <c r="B96" s="25"/>
      <c r="C96" s="24"/>
      <c r="D96" s="24"/>
      <c r="E96" s="24"/>
      <c r="F96" s="24"/>
      <c r="G96" s="24"/>
      <c r="H96" s="24"/>
      <c r="I96" s="24"/>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6"/>
      <c r="BC96" s="26"/>
      <c r="BD96" s="26"/>
      <c r="BE96" s="26"/>
      <c r="BF96" s="26"/>
      <c r="BG96" s="26"/>
      <c r="BH96" s="26"/>
      <c r="BI96" s="26"/>
      <c r="BJ96" s="26"/>
      <c r="BK96" s="27"/>
    </row>
    <row r="97" spans="2:63" ht="15.5">
      <c r="B97" s="25"/>
      <c r="C97" s="24"/>
      <c r="D97" s="24"/>
      <c r="E97" s="24"/>
      <c r="F97" s="24"/>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6"/>
      <c r="BC97" s="26"/>
      <c r="BD97" s="26"/>
      <c r="BE97" s="26"/>
      <c r="BF97" s="26"/>
      <c r="BG97" s="26"/>
      <c r="BH97" s="26"/>
      <c r="BI97" s="26"/>
      <c r="BJ97" s="26"/>
      <c r="BK97" s="27"/>
    </row>
    <row r="98" spans="2:63" ht="15.5">
      <c r="B98" s="25"/>
      <c r="C98" s="24"/>
      <c r="D98" s="24"/>
      <c r="E98" s="24"/>
      <c r="F98" s="24"/>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6"/>
      <c r="BC98" s="26"/>
      <c r="BD98" s="26"/>
      <c r="BE98" s="26"/>
      <c r="BF98" s="26"/>
      <c r="BG98" s="26"/>
      <c r="BH98" s="26"/>
      <c r="BI98" s="26"/>
      <c r="BJ98" s="26"/>
      <c r="BK98" s="27"/>
    </row>
    <row r="99" spans="2:63" ht="15.5">
      <c r="B99" s="25"/>
      <c r="C99" s="24"/>
      <c r="D99" s="24"/>
      <c r="E99" s="24"/>
      <c r="F99" s="24"/>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6"/>
      <c r="BC99" s="26"/>
      <c r="BD99" s="26"/>
      <c r="BE99" s="26"/>
      <c r="BF99" s="26"/>
      <c r="BG99" s="26"/>
      <c r="BH99" s="26"/>
      <c r="BI99" s="26"/>
      <c r="BJ99" s="26"/>
      <c r="BK99" s="27"/>
    </row>
    <row r="100" spans="2:63" ht="15.5">
      <c r="B100" s="25"/>
      <c r="C100" s="24"/>
      <c r="D100" s="24"/>
      <c r="E100" s="24"/>
      <c r="F100" s="24"/>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6"/>
      <c r="BC100" s="26"/>
      <c r="BD100" s="26"/>
      <c r="BE100" s="26"/>
      <c r="BF100" s="26"/>
      <c r="BG100" s="26"/>
      <c r="BH100" s="26"/>
      <c r="BI100" s="26"/>
      <c r="BJ100" s="26"/>
      <c r="BK100" s="27"/>
    </row>
    <row r="101" spans="2:63" ht="15.5">
      <c r="B101" s="25"/>
      <c r="C101" s="24"/>
      <c r="D101" s="24"/>
      <c r="E101" s="24"/>
      <c r="F101" s="24"/>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6"/>
      <c r="BC101" s="26"/>
      <c r="BD101" s="26"/>
      <c r="BE101" s="26"/>
      <c r="BF101" s="26"/>
      <c r="BG101" s="26"/>
      <c r="BH101" s="26"/>
      <c r="BI101" s="26"/>
      <c r="BJ101" s="26"/>
      <c r="BK101" s="27"/>
    </row>
    <row r="102" spans="2:63" ht="15.5">
      <c r="B102" s="25"/>
      <c r="C102" s="24"/>
      <c r="D102" s="24"/>
      <c r="E102" s="24"/>
      <c r="F102" s="24"/>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6"/>
      <c r="BC102" s="26"/>
      <c r="BD102" s="26"/>
      <c r="BE102" s="26"/>
      <c r="BF102" s="26"/>
      <c r="BG102" s="26"/>
      <c r="BH102" s="26"/>
      <c r="BI102" s="26"/>
      <c r="BJ102" s="26"/>
      <c r="BK102" s="27"/>
    </row>
    <row r="103" spans="2:63" ht="15.5">
      <c r="B103" s="25"/>
      <c r="C103" s="24"/>
      <c r="D103" s="24"/>
      <c r="E103" s="24"/>
      <c r="F103" s="24"/>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6"/>
      <c r="BC103" s="26"/>
      <c r="BD103" s="26"/>
      <c r="BE103" s="26"/>
      <c r="BF103" s="26"/>
      <c r="BG103" s="26"/>
      <c r="BH103" s="26"/>
      <c r="BI103" s="26"/>
      <c r="BJ103" s="26"/>
      <c r="BK103" s="27"/>
    </row>
    <row r="104" spans="2:63" ht="15.5">
      <c r="B104" s="25"/>
      <c r="C104" s="24"/>
      <c r="D104" s="24"/>
      <c r="E104" s="24"/>
      <c r="F104" s="24"/>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6"/>
      <c r="BC104" s="26"/>
      <c r="BD104" s="26"/>
      <c r="BE104" s="26"/>
      <c r="BF104" s="26"/>
      <c r="BG104" s="26"/>
      <c r="BH104" s="26"/>
      <c r="BI104" s="26"/>
      <c r="BJ104" s="26"/>
      <c r="BK104" s="27"/>
    </row>
    <row r="105" spans="2:63" ht="15.5">
      <c r="B105" s="25"/>
      <c r="C105" s="24"/>
      <c r="D105" s="24"/>
      <c r="E105" s="24"/>
      <c r="F105" s="24"/>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6"/>
      <c r="BC105" s="26"/>
      <c r="BD105" s="26"/>
      <c r="BE105" s="26"/>
      <c r="BF105" s="26"/>
      <c r="BG105" s="26"/>
      <c r="BH105" s="26"/>
      <c r="BI105" s="26"/>
      <c r="BJ105" s="26"/>
      <c r="BK105" s="27"/>
    </row>
    <row r="106" spans="2:63" ht="15.5">
      <c r="B106" s="25"/>
      <c r="C106" s="24"/>
      <c r="D106" s="24"/>
      <c r="E106" s="24"/>
      <c r="F106" s="24"/>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6"/>
      <c r="BC106" s="26"/>
      <c r="BD106" s="26"/>
      <c r="BE106" s="26"/>
      <c r="BF106" s="26"/>
      <c r="BG106" s="26"/>
      <c r="BH106" s="26"/>
      <c r="BI106" s="26"/>
      <c r="BJ106" s="26"/>
      <c r="BK106" s="27"/>
    </row>
    <row r="107" spans="2:63" ht="15.5">
      <c r="B107" s="25"/>
      <c r="C107" s="24"/>
      <c r="D107" s="24"/>
      <c r="E107" s="24"/>
      <c r="F107" s="24"/>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6"/>
      <c r="BC107" s="26"/>
      <c r="BD107" s="26"/>
      <c r="BE107" s="26"/>
      <c r="BF107" s="26"/>
      <c r="BG107" s="26"/>
      <c r="BH107" s="26"/>
      <c r="BI107" s="26"/>
      <c r="BJ107" s="26"/>
      <c r="BK107" s="27"/>
    </row>
    <row r="108" spans="2:63" ht="15.5">
      <c r="B108" s="25"/>
      <c r="C108" s="24"/>
      <c r="D108" s="24"/>
      <c r="E108" s="24"/>
      <c r="F108" s="24"/>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6"/>
      <c r="BC108" s="26"/>
      <c r="BD108" s="26"/>
      <c r="BE108" s="26"/>
      <c r="BF108" s="26"/>
      <c r="BG108" s="26"/>
      <c r="BH108" s="26"/>
      <c r="BI108" s="26"/>
      <c r="BJ108" s="26"/>
      <c r="BK108" s="27"/>
    </row>
    <row r="109" spans="2:63" ht="15.5">
      <c r="B109" s="25"/>
      <c r="C109" s="24"/>
      <c r="D109" s="24"/>
      <c r="E109" s="24"/>
      <c r="F109" s="24"/>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6"/>
      <c r="BC109" s="26"/>
      <c r="BD109" s="26"/>
      <c r="BE109" s="26"/>
      <c r="BF109" s="26"/>
      <c r="BG109" s="26"/>
      <c r="BH109" s="26"/>
      <c r="BI109" s="26"/>
      <c r="BJ109" s="26"/>
      <c r="BK109" s="27"/>
    </row>
    <row r="110" spans="2:63" ht="15.5">
      <c r="B110" s="25"/>
      <c r="C110" s="24"/>
      <c r="D110" s="24"/>
      <c r="E110" s="24"/>
      <c r="F110" s="24"/>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6"/>
      <c r="BC110" s="26"/>
      <c r="BD110" s="26"/>
      <c r="BE110" s="26"/>
      <c r="BF110" s="26"/>
      <c r="BG110" s="26"/>
      <c r="BH110" s="26"/>
      <c r="BI110" s="26"/>
      <c r="BJ110" s="26"/>
      <c r="BK110" s="27"/>
    </row>
    <row r="111" spans="2:63" ht="15.5">
      <c r="B111" s="25"/>
      <c r="C111" s="24"/>
      <c r="D111" s="24"/>
      <c r="E111" s="24"/>
      <c r="F111" s="24"/>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6"/>
      <c r="BC111" s="26"/>
      <c r="BD111" s="26"/>
      <c r="BE111" s="26"/>
      <c r="BF111" s="26"/>
      <c r="BG111" s="26"/>
      <c r="BH111" s="26"/>
      <c r="BI111" s="26"/>
      <c r="BJ111" s="26"/>
      <c r="BK111" s="27"/>
    </row>
    <row r="112" spans="2:63" ht="15.5">
      <c r="B112" s="25"/>
      <c r="C112" s="24"/>
      <c r="D112" s="24"/>
      <c r="E112" s="24"/>
      <c r="F112" s="24"/>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6"/>
      <c r="BC112" s="26"/>
      <c r="BD112" s="26"/>
      <c r="BE112" s="26"/>
      <c r="BF112" s="26"/>
      <c r="BG112" s="26"/>
      <c r="BH112" s="26"/>
      <c r="BI112" s="26"/>
      <c r="BJ112" s="26"/>
      <c r="BK112" s="27"/>
    </row>
    <row r="113" spans="2:63" ht="15.5">
      <c r="B113" s="25"/>
      <c r="C113" s="24"/>
      <c r="D113" s="24"/>
      <c r="E113" s="24"/>
      <c r="F113" s="24"/>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6"/>
      <c r="BC113" s="26"/>
      <c r="BD113" s="26"/>
      <c r="BE113" s="26"/>
      <c r="BF113" s="26"/>
      <c r="BG113" s="26"/>
      <c r="BH113" s="26"/>
      <c r="BI113" s="26"/>
      <c r="BJ113" s="26"/>
      <c r="BK113" s="27"/>
    </row>
    <row r="114" spans="2:63" ht="15.5">
      <c r="B114" s="25"/>
      <c r="C114" s="24"/>
      <c r="D114" s="24"/>
      <c r="E114" s="24"/>
      <c r="F114" s="24"/>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6"/>
      <c r="BC114" s="26"/>
      <c r="BD114" s="26"/>
      <c r="BE114" s="26"/>
      <c r="BF114" s="26"/>
      <c r="BG114" s="26"/>
      <c r="BH114" s="26"/>
      <c r="BI114" s="26"/>
      <c r="BJ114" s="26"/>
      <c r="BK114" s="27"/>
    </row>
    <row r="115" spans="2:63" ht="15.5">
      <c r="B115" s="25"/>
      <c r="C115" s="24"/>
      <c r="D115" s="24"/>
      <c r="E115" s="24"/>
      <c r="F115" s="24"/>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6"/>
      <c r="BC115" s="26"/>
      <c r="BD115" s="26"/>
      <c r="BE115" s="26"/>
      <c r="BF115" s="26"/>
      <c r="BG115" s="26"/>
      <c r="BH115" s="26"/>
      <c r="BI115" s="26"/>
      <c r="BJ115" s="26"/>
      <c r="BK115" s="27"/>
    </row>
    <row r="116" spans="2:63" ht="15.5">
      <c r="B116" s="25"/>
      <c r="C116" s="24"/>
      <c r="D116" s="24"/>
      <c r="E116" s="24"/>
      <c r="F116" s="24"/>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6"/>
      <c r="BC116" s="26"/>
      <c r="BD116" s="26"/>
      <c r="BE116" s="26"/>
      <c r="BF116" s="26"/>
      <c r="BG116" s="26"/>
      <c r="BH116" s="26"/>
      <c r="BI116" s="26"/>
      <c r="BJ116" s="26"/>
      <c r="BK116" s="27"/>
    </row>
    <row r="117" spans="2:63" ht="15.5">
      <c r="B117" s="25"/>
      <c r="C117" s="24"/>
      <c r="D117" s="24"/>
      <c r="E117" s="24"/>
      <c r="F117" s="24"/>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6"/>
      <c r="BC117" s="26"/>
      <c r="BD117" s="26"/>
      <c r="BE117" s="26"/>
      <c r="BF117" s="26"/>
      <c r="BG117" s="26"/>
      <c r="BH117" s="26"/>
      <c r="BI117" s="26"/>
      <c r="BJ117" s="26"/>
      <c r="BK117" s="27"/>
    </row>
    <row r="118" spans="2:63" ht="15.5">
      <c r="B118" s="25"/>
      <c r="C118" s="24"/>
      <c r="D118" s="24"/>
      <c r="E118" s="24"/>
      <c r="F118" s="24"/>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6"/>
      <c r="BC118" s="26"/>
      <c r="BD118" s="26"/>
      <c r="BE118" s="26"/>
      <c r="BF118" s="26"/>
      <c r="BG118" s="26"/>
      <c r="BH118" s="26"/>
      <c r="BI118" s="26"/>
      <c r="BJ118" s="26"/>
      <c r="BK118" s="27"/>
    </row>
    <row r="119" spans="2:63" ht="15.5">
      <c r="B119" s="25"/>
      <c r="C119" s="24"/>
      <c r="D119" s="24"/>
      <c r="E119" s="24"/>
      <c r="F119" s="24"/>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6"/>
      <c r="BC119" s="26"/>
      <c r="BD119" s="26"/>
      <c r="BE119" s="26"/>
      <c r="BF119" s="26"/>
      <c r="BG119" s="26"/>
      <c r="BH119" s="26"/>
      <c r="BI119" s="26"/>
      <c r="BJ119" s="26"/>
      <c r="BK119" s="27"/>
    </row>
    <row r="120" spans="2:63" ht="15.5">
      <c r="B120" s="25"/>
      <c r="C120" s="24"/>
      <c r="D120" s="24"/>
      <c r="E120" s="24"/>
      <c r="F120" s="24"/>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6"/>
      <c r="BC120" s="26"/>
      <c r="BD120" s="26"/>
      <c r="BE120" s="26"/>
      <c r="BF120" s="26"/>
      <c r="BG120" s="26"/>
      <c r="BH120" s="26"/>
      <c r="BI120" s="26"/>
      <c r="BJ120" s="26"/>
      <c r="BK120" s="27"/>
    </row>
    <row r="121" spans="2:63" ht="15.5">
      <c r="B121" s="25"/>
      <c r="C121" s="24"/>
      <c r="D121" s="24"/>
      <c r="E121" s="24"/>
      <c r="F121" s="24"/>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6"/>
      <c r="BC121" s="26"/>
      <c r="BD121" s="26"/>
      <c r="BE121" s="26"/>
      <c r="BF121" s="26"/>
      <c r="BG121" s="26"/>
      <c r="BH121" s="26"/>
      <c r="BI121" s="26"/>
      <c r="BJ121" s="26"/>
      <c r="BK121" s="27"/>
    </row>
    <row r="122" spans="2:63" ht="15.5">
      <c r="B122" s="25"/>
      <c r="C122" s="24"/>
      <c r="D122" s="24"/>
      <c r="E122" s="24"/>
      <c r="F122" s="24"/>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6"/>
      <c r="BC122" s="26"/>
      <c r="BD122" s="26"/>
      <c r="BE122" s="26"/>
      <c r="BF122" s="26"/>
      <c r="BG122" s="26"/>
      <c r="BH122" s="26"/>
      <c r="BI122" s="26"/>
      <c r="BJ122" s="26"/>
      <c r="BK122" s="27"/>
    </row>
    <row r="123" spans="2:63" ht="15.5">
      <c r="B123" s="25"/>
      <c r="C123" s="24"/>
      <c r="D123" s="24"/>
      <c r="E123" s="24"/>
      <c r="F123" s="24"/>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6"/>
      <c r="BC123" s="26"/>
      <c r="BD123" s="26"/>
      <c r="BE123" s="26"/>
      <c r="BF123" s="26"/>
      <c r="BG123" s="26"/>
      <c r="BH123" s="26"/>
      <c r="BI123" s="26"/>
      <c r="BJ123" s="26"/>
      <c r="BK123" s="27"/>
    </row>
    <row r="124" spans="2:63" ht="15.5">
      <c r="B124" s="25"/>
      <c r="C124" s="24"/>
      <c r="D124" s="24"/>
      <c r="E124" s="24"/>
      <c r="F124" s="24"/>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6"/>
      <c r="BC124" s="26"/>
      <c r="BD124" s="26"/>
      <c r="BE124" s="26"/>
      <c r="BF124" s="26"/>
      <c r="BG124" s="26"/>
      <c r="BH124" s="26"/>
      <c r="BI124" s="26"/>
      <c r="BJ124" s="26"/>
      <c r="BK124" s="27"/>
    </row>
    <row r="125" spans="2:63" ht="15.5">
      <c r="B125" s="25"/>
      <c r="C125" s="24"/>
      <c r="D125" s="24"/>
      <c r="E125" s="24"/>
      <c r="F125" s="24"/>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6"/>
      <c r="BC125" s="26"/>
      <c r="BD125" s="26"/>
      <c r="BE125" s="26"/>
      <c r="BF125" s="26"/>
      <c r="BG125" s="26"/>
      <c r="BH125" s="26"/>
      <c r="BI125" s="26"/>
      <c r="BJ125" s="26"/>
      <c r="BK125" s="27"/>
    </row>
    <row r="126" spans="2:63" ht="15.5">
      <c r="B126" s="25"/>
      <c r="C126" s="24"/>
      <c r="D126" s="24"/>
      <c r="E126" s="24"/>
      <c r="F126" s="24"/>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6"/>
      <c r="BC126" s="26"/>
      <c r="BD126" s="26"/>
      <c r="BE126" s="26"/>
      <c r="BF126" s="26"/>
      <c r="BG126" s="26"/>
      <c r="BH126" s="26"/>
      <c r="BI126" s="26"/>
      <c r="BJ126" s="26"/>
      <c r="BK126" s="27"/>
    </row>
    <row r="127" spans="2:63" ht="15.5">
      <c r="B127" s="25"/>
      <c r="C127" s="24"/>
      <c r="D127" s="24"/>
      <c r="E127" s="24"/>
      <c r="F127" s="24"/>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6"/>
      <c r="BC127" s="26"/>
      <c r="BD127" s="26"/>
      <c r="BE127" s="26"/>
      <c r="BF127" s="26"/>
      <c r="BG127" s="26"/>
      <c r="BH127" s="26"/>
      <c r="BI127" s="26"/>
      <c r="BJ127" s="26"/>
      <c r="BK127" s="27"/>
    </row>
    <row r="128" spans="2:63" ht="15.5">
      <c r="B128" s="25"/>
      <c r="C128" s="24"/>
      <c r="D128" s="24"/>
      <c r="E128" s="24"/>
      <c r="F128" s="24"/>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6"/>
      <c r="BC128" s="26"/>
      <c r="BD128" s="26"/>
      <c r="BE128" s="26"/>
      <c r="BF128" s="26"/>
      <c r="BG128" s="26"/>
      <c r="BH128" s="26"/>
      <c r="BI128" s="26"/>
      <c r="BJ128" s="26"/>
      <c r="BK128" s="27"/>
    </row>
    <row r="129" spans="2:63" ht="15.5">
      <c r="B129" s="25"/>
      <c r="C129" s="24"/>
      <c r="D129" s="24"/>
      <c r="E129" s="24"/>
      <c r="F129" s="24"/>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6"/>
      <c r="BC129" s="26"/>
      <c r="BD129" s="26"/>
      <c r="BE129" s="26"/>
      <c r="BF129" s="26"/>
      <c r="BG129" s="26"/>
      <c r="BH129" s="26"/>
      <c r="BI129" s="26"/>
      <c r="BJ129" s="26"/>
      <c r="BK129" s="27"/>
    </row>
    <row r="130" spans="2:63" ht="15.5">
      <c r="B130" s="25"/>
      <c r="C130" s="24"/>
      <c r="D130" s="24"/>
      <c r="E130" s="24"/>
      <c r="F130" s="24"/>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6"/>
      <c r="BC130" s="26"/>
      <c r="BD130" s="26"/>
      <c r="BE130" s="26"/>
      <c r="BF130" s="26"/>
      <c r="BG130" s="26"/>
      <c r="BH130" s="26"/>
      <c r="BI130" s="26"/>
      <c r="BJ130" s="26"/>
      <c r="BK130" s="27"/>
    </row>
    <row r="131" spans="2:63" ht="15.5">
      <c r="B131" s="25"/>
      <c r="C131" s="24"/>
      <c r="D131" s="24"/>
      <c r="E131" s="24"/>
      <c r="F131" s="24"/>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6"/>
      <c r="BC131" s="26"/>
      <c r="BD131" s="26"/>
      <c r="BE131" s="26"/>
      <c r="BF131" s="26"/>
      <c r="BG131" s="26"/>
      <c r="BH131" s="26"/>
      <c r="BI131" s="26"/>
      <c r="BJ131" s="26"/>
      <c r="BK131" s="27"/>
    </row>
    <row r="132" spans="2:63" ht="15.5">
      <c r="B132" s="25"/>
      <c r="C132" s="24"/>
      <c r="D132" s="24"/>
      <c r="E132" s="24"/>
      <c r="F132" s="24"/>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6"/>
      <c r="BC132" s="26"/>
      <c r="BD132" s="26"/>
      <c r="BE132" s="26"/>
      <c r="BF132" s="26"/>
      <c r="BG132" s="26"/>
      <c r="BH132" s="26"/>
      <c r="BI132" s="26"/>
      <c r="BJ132" s="26"/>
      <c r="BK132" s="27"/>
    </row>
    <row r="133" spans="2:63" ht="15.5">
      <c r="B133" s="25"/>
      <c r="C133" s="24"/>
      <c r="D133" s="24"/>
      <c r="E133" s="24"/>
      <c r="F133" s="24"/>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6"/>
      <c r="BC133" s="26"/>
      <c r="BD133" s="26"/>
      <c r="BE133" s="26"/>
      <c r="BF133" s="26"/>
      <c r="BG133" s="26"/>
      <c r="BH133" s="26"/>
      <c r="BI133" s="26"/>
      <c r="BJ133" s="26"/>
      <c r="BK133" s="27"/>
    </row>
    <row r="134" spans="2:63" ht="15.5">
      <c r="B134" s="25"/>
      <c r="C134" s="24"/>
      <c r="D134" s="24"/>
      <c r="E134" s="24"/>
      <c r="F134" s="24"/>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6"/>
      <c r="BC134" s="26"/>
      <c r="BD134" s="26"/>
      <c r="BE134" s="26"/>
      <c r="BF134" s="26"/>
      <c r="BG134" s="26"/>
      <c r="BH134" s="26"/>
      <c r="BI134" s="26"/>
      <c r="BJ134" s="26"/>
      <c r="BK134" s="27"/>
    </row>
    <row r="135" spans="2:63" ht="15.5">
      <c r="B135" s="25"/>
      <c r="C135" s="24"/>
      <c r="D135" s="24"/>
      <c r="E135" s="24"/>
      <c r="F135" s="24"/>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6"/>
      <c r="BC135" s="26"/>
      <c r="BD135" s="26"/>
      <c r="BE135" s="26"/>
      <c r="BF135" s="26"/>
      <c r="BG135" s="26"/>
      <c r="BH135" s="26"/>
      <c r="BI135" s="26"/>
      <c r="BJ135" s="26"/>
      <c r="BK135" s="27"/>
    </row>
    <row r="136" spans="2:63" ht="15.5">
      <c r="B136" s="25"/>
      <c r="C136" s="24"/>
      <c r="D136" s="24"/>
      <c r="E136" s="24"/>
      <c r="F136" s="24"/>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6"/>
      <c r="BC136" s="26"/>
      <c r="BD136" s="26"/>
      <c r="BE136" s="26"/>
      <c r="BF136" s="26"/>
      <c r="BG136" s="26"/>
      <c r="BH136" s="26"/>
      <c r="BI136" s="26"/>
      <c r="BJ136" s="26"/>
      <c r="BK136" s="27"/>
    </row>
    <row r="137" spans="2:63" ht="15.5">
      <c r="B137" s="25"/>
      <c r="C137" s="24"/>
      <c r="D137" s="24"/>
      <c r="E137" s="24"/>
      <c r="F137" s="24"/>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6"/>
      <c r="BC137" s="26"/>
      <c r="BD137" s="26"/>
      <c r="BE137" s="26"/>
      <c r="BF137" s="26"/>
      <c r="BG137" s="26"/>
      <c r="BH137" s="26"/>
      <c r="BI137" s="26"/>
      <c r="BJ137" s="26"/>
      <c r="BK137" s="27"/>
    </row>
    <row r="138" spans="2:63" ht="15.5">
      <c r="B138" s="25"/>
      <c r="C138" s="24"/>
      <c r="D138" s="24"/>
      <c r="E138" s="24"/>
      <c r="F138" s="24"/>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6"/>
      <c r="BC138" s="26"/>
      <c r="BD138" s="26"/>
      <c r="BE138" s="26"/>
      <c r="BF138" s="26"/>
      <c r="BG138" s="26"/>
      <c r="BH138" s="26"/>
      <c r="BI138" s="26"/>
      <c r="BJ138" s="26"/>
      <c r="BK138" s="27"/>
    </row>
    <row r="139" spans="2:63" ht="15.5">
      <c r="B139" s="25"/>
      <c r="C139" s="24"/>
      <c r="D139" s="24"/>
      <c r="E139" s="24"/>
      <c r="F139" s="24"/>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6"/>
      <c r="BC139" s="26"/>
      <c r="BD139" s="26"/>
      <c r="BE139" s="26"/>
      <c r="BF139" s="26"/>
      <c r="BG139" s="26"/>
      <c r="BH139" s="26"/>
      <c r="BI139" s="26"/>
      <c r="BJ139" s="26"/>
      <c r="BK139" s="27"/>
    </row>
    <row r="140" spans="2:63" ht="15.5">
      <c r="B140" s="25"/>
      <c r="C140" s="24"/>
      <c r="D140" s="24"/>
      <c r="E140" s="24"/>
      <c r="F140" s="24"/>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6"/>
      <c r="BC140" s="26"/>
      <c r="BD140" s="26"/>
      <c r="BE140" s="26"/>
      <c r="BF140" s="26"/>
      <c r="BG140" s="26"/>
      <c r="BH140" s="26"/>
      <c r="BI140" s="26"/>
      <c r="BJ140" s="26"/>
      <c r="BK140" s="27"/>
    </row>
    <row r="141" spans="2:63" ht="15.5">
      <c r="B141" s="25"/>
      <c r="C141" s="24"/>
      <c r="D141" s="24"/>
      <c r="E141" s="24"/>
      <c r="F141" s="24"/>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6"/>
      <c r="BC141" s="26"/>
      <c r="BD141" s="26"/>
      <c r="BE141" s="26"/>
      <c r="BF141" s="26"/>
      <c r="BG141" s="26"/>
      <c r="BH141" s="26"/>
      <c r="BI141" s="26"/>
      <c r="BJ141" s="26"/>
      <c r="BK141" s="27"/>
    </row>
    <row r="142" spans="2:63" ht="15.5">
      <c r="B142" s="25"/>
      <c r="C142" s="24"/>
      <c r="D142" s="24"/>
      <c r="E142" s="24"/>
      <c r="F142" s="24"/>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6"/>
      <c r="BC142" s="26"/>
      <c r="BD142" s="26"/>
      <c r="BE142" s="26"/>
      <c r="BF142" s="26"/>
      <c r="BG142" s="26"/>
      <c r="BH142" s="26"/>
      <c r="BI142" s="26"/>
      <c r="BJ142" s="26"/>
      <c r="BK142" s="27"/>
    </row>
    <row r="143" spans="2:63" ht="15.5">
      <c r="B143" s="25"/>
      <c r="C143" s="24"/>
      <c r="D143" s="24"/>
      <c r="E143" s="24"/>
      <c r="F143" s="24"/>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6"/>
      <c r="BC143" s="26"/>
      <c r="BD143" s="26"/>
      <c r="BE143" s="26"/>
      <c r="BF143" s="26"/>
      <c r="BG143" s="26"/>
      <c r="BH143" s="26"/>
      <c r="BI143" s="26"/>
      <c r="BJ143" s="26"/>
      <c r="BK143" s="27"/>
    </row>
    <row r="144" spans="2:63" ht="15.5">
      <c r="B144" s="25"/>
      <c r="C144" s="24"/>
      <c r="D144" s="24"/>
      <c r="E144" s="24"/>
      <c r="F144" s="24"/>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6"/>
      <c r="BC144" s="26"/>
      <c r="BD144" s="26"/>
      <c r="BE144" s="26"/>
      <c r="BF144" s="26"/>
      <c r="BG144" s="26"/>
      <c r="BH144" s="26"/>
      <c r="BI144" s="26"/>
      <c r="BJ144" s="26"/>
      <c r="BK144" s="27"/>
    </row>
    <row r="145" spans="2:63" ht="15.5">
      <c r="B145" s="25"/>
      <c r="C145" s="24"/>
      <c r="D145" s="24"/>
      <c r="E145" s="24"/>
      <c r="F145" s="24"/>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6"/>
      <c r="BC145" s="26"/>
      <c r="BD145" s="26"/>
      <c r="BE145" s="26"/>
      <c r="BF145" s="26"/>
      <c r="BG145" s="26"/>
      <c r="BH145" s="26"/>
      <c r="BI145" s="26"/>
      <c r="BJ145" s="26"/>
      <c r="BK145" s="27"/>
    </row>
    <row r="146" spans="2:63" ht="15.5">
      <c r="B146" s="25"/>
      <c r="C146" s="24"/>
      <c r="D146" s="24"/>
      <c r="E146" s="24"/>
      <c r="F146" s="24"/>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6"/>
      <c r="BC146" s="26"/>
      <c r="BD146" s="26"/>
      <c r="BE146" s="26"/>
      <c r="BF146" s="26"/>
      <c r="BG146" s="26"/>
      <c r="BH146" s="26"/>
      <c r="BI146" s="26"/>
      <c r="BJ146" s="26"/>
      <c r="BK146" s="27"/>
    </row>
    <row r="147" spans="2:63" ht="15.5">
      <c r="B147" s="25"/>
      <c r="C147" s="24"/>
      <c r="D147" s="24"/>
      <c r="E147" s="24"/>
      <c r="F147" s="24"/>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6"/>
      <c r="BC147" s="26"/>
      <c r="BD147" s="26"/>
      <c r="BE147" s="26"/>
      <c r="BF147" s="26"/>
      <c r="BG147" s="26"/>
      <c r="BH147" s="26"/>
      <c r="BI147" s="26"/>
      <c r="BJ147" s="26"/>
      <c r="BK147" s="27"/>
    </row>
    <row r="148" spans="2:63" ht="15.5">
      <c r="B148" s="25"/>
      <c r="C148" s="24"/>
      <c r="D148" s="24"/>
      <c r="E148" s="24"/>
      <c r="F148" s="24"/>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6"/>
      <c r="BC148" s="26"/>
      <c r="BD148" s="26"/>
      <c r="BE148" s="26"/>
      <c r="BF148" s="26"/>
      <c r="BG148" s="26"/>
      <c r="BH148" s="26"/>
      <c r="BI148" s="26"/>
      <c r="BJ148" s="26"/>
      <c r="BK148" s="27"/>
    </row>
    <row r="149" spans="2:63" ht="15.5">
      <c r="B149" s="25"/>
      <c r="C149" s="24"/>
      <c r="D149" s="24"/>
      <c r="E149" s="24"/>
      <c r="F149" s="24"/>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6"/>
      <c r="BC149" s="26"/>
      <c r="BD149" s="26"/>
      <c r="BE149" s="26"/>
      <c r="BF149" s="26"/>
      <c r="BG149" s="26"/>
      <c r="BH149" s="26"/>
      <c r="BI149" s="26"/>
      <c r="BJ149" s="26"/>
      <c r="BK149" s="27"/>
    </row>
    <row r="150" spans="2:63" ht="15.5">
      <c r="B150" s="25"/>
      <c r="C150" s="24"/>
      <c r="D150" s="24"/>
      <c r="E150" s="24"/>
      <c r="F150" s="24"/>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6"/>
      <c r="BC150" s="26"/>
      <c r="BD150" s="26"/>
      <c r="BE150" s="26"/>
      <c r="BF150" s="26"/>
      <c r="BG150" s="26"/>
      <c r="BH150" s="26"/>
      <c r="BI150" s="26"/>
      <c r="BJ150" s="26"/>
      <c r="BK150" s="27"/>
    </row>
    <row r="151" spans="2:63" ht="15.5">
      <c r="B151" s="25"/>
      <c r="C151" s="24"/>
      <c r="D151" s="24"/>
      <c r="E151" s="24"/>
      <c r="F151" s="24"/>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6"/>
      <c r="BC151" s="26"/>
      <c r="BD151" s="26"/>
      <c r="BE151" s="26"/>
      <c r="BF151" s="26"/>
      <c r="BG151" s="26"/>
      <c r="BH151" s="26"/>
      <c r="BI151" s="26"/>
      <c r="BJ151" s="26"/>
      <c r="BK151" s="27"/>
    </row>
    <row r="152" spans="2:63" ht="15.5">
      <c r="B152" s="25"/>
      <c r="C152" s="24"/>
      <c r="D152" s="24"/>
      <c r="E152" s="24"/>
      <c r="F152" s="24"/>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6"/>
      <c r="BC152" s="26"/>
      <c r="BD152" s="26"/>
      <c r="BE152" s="26"/>
      <c r="BF152" s="26"/>
      <c r="BG152" s="26"/>
      <c r="BH152" s="26"/>
      <c r="BI152" s="26"/>
      <c r="BJ152" s="26"/>
      <c r="BK152" s="27"/>
    </row>
    <row r="153" spans="2:63" ht="15.5">
      <c r="B153" s="25"/>
      <c r="C153" s="24"/>
      <c r="D153" s="24"/>
      <c r="E153" s="24"/>
      <c r="F153" s="24"/>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6"/>
      <c r="BC153" s="26"/>
      <c r="BD153" s="26"/>
      <c r="BE153" s="26"/>
      <c r="BF153" s="26"/>
      <c r="BG153" s="26"/>
      <c r="BH153" s="26"/>
      <c r="BI153" s="26"/>
      <c r="BJ153" s="26"/>
      <c r="BK153" s="27"/>
    </row>
    <row r="154" spans="2:63" ht="15.5">
      <c r="B154" s="25"/>
      <c r="C154" s="24"/>
      <c r="D154" s="24"/>
      <c r="E154" s="24"/>
      <c r="F154" s="24"/>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6"/>
      <c r="BC154" s="26"/>
      <c r="BD154" s="26"/>
      <c r="BE154" s="26"/>
      <c r="BF154" s="26"/>
      <c r="BG154" s="26"/>
      <c r="BH154" s="26"/>
      <c r="BI154" s="26"/>
      <c r="BJ154" s="26"/>
      <c r="BK154" s="27"/>
    </row>
    <row r="155" spans="2:63" ht="15.5">
      <c r="B155" s="25"/>
      <c r="C155" s="24"/>
      <c r="D155" s="24"/>
      <c r="E155" s="24"/>
      <c r="F155" s="24"/>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6"/>
      <c r="BC155" s="26"/>
      <c r="BD155" s="26"/>
      <c r="BE155" s="26"/>
      <c r="BF155" s="26"/>
      <c r="BG155" s="26"/>
      <c r="BH155" s="26"/>
      <c r="BI155" s="26"/>
      <c r="BJ155" s="26"/>
      <c r="BK155" s="27"/>
    </row>
    <row r="156" spans="2:63" ht="15.5">
      <c r="B156" s="25"/>
      <c r="C156" s="24"/>
      <c r="D156" s="24"/>
      <c r="E156" s="24"/>
      <c r="F156" s="24"/>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6"/>
      <c r="BC156" s="26"/>
      <c r="BD156" s="26"/>
      <c r="BE156" s="26"/>
      <c r="BF156" s="26"/>
      <c r="BG156" s="26"/>
      <c r="BH156" s="26"/>
      <c r="BI156" s="26"/>
      <c r="BJ156" s="26"/>
      <c r="BK156" s="27"/>
    </row>
    <row r="157" spans="2:63" ht="15.5">
      <c r="B157" s="25"/>
      <c r="C157" s="24"/>
      <c r="D157" s="24"/>
      <c r="E157" s="24"/>
      <c r="F157" s="24"/>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6"/>
      <c r="BC157" s="26"/>
      <c r="BD157" s="26"/>
      <c r="BE157" s="26"/>
      <c r="BF157" s="26"/>
      <c r="BG157" s="26"/>
      <c r="BH157" s="26"/>
      <c r="BI157" s="26"/>
      <c r="BJ157" s="26"/>
      <c r="BK157" s="27"/>
    </row>
    <row r="158" spans="2:63" ht="15.5">
      <c r="B158" s="25"/>
      <c r="C158" s="24"/>
      <c r="D158" s="24"/>
      <c r="E158" s="24"/>
      <c r="F158" s="24"/>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6"/>
      <c r="BC158" s="26"/>
      <c r="BD158" s="26"/>
      <c r="BE158" s="26"/>
      <c r="BF158" s="26"/>
      <c r="BG158" s="26"/>
      <c r="BH158" s="26"/>
      <c r="BI158" s="26"/>
      <c r="BJ158" s="26"/>
      <c r="BK158" s="27"/>
    </row>
    <row r="159" spans="2:63" ht="15.5">
      <c r="B159" s="25"/>
      <c r="C159" s="24"/>
      <c r="D159" s="24"/>
      <c r="E159" s="24"/>
      <c r="F159" s="24"/>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6"/>
      <c r="BC159" s="26"/>
      <c r="BD159" s="26"/>
      <c r="BE159" s="26"/>
      <c r="BF159" s="26"/>
      <c r="BG159" s="26"/>
      <c r="BH159" s="26"/>
      <c r="BI159" s="26"/>
      <c r="BJ159" s="26"/>
      <c r="BK159" s="27"/>
    </row>
    <row r="160" spans="2:63" ht="15.5">
      <c r="B160" s="25"/>
      <c r="C160" s="24"/>
      <c r="D160" s="24"/>
      <c r="E160" s="24"/>
      <c r="F160" s="24"/>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6"/>
      <c r="BC160" s="26"/>
      <c r="BD160" s="26"/>
      <c r="BE160" s="26"/>
      <c r="BF160" s="26"/>
      <c r="BG160" s="26"/>
      <c r="BH160" s="26"/>
      <c r="BI160" s="26"/>
      <c r="BJ160" s="26"/>
      <c r="BK160" s="27"/>
    </row>
    <row r="161" spans="2:63" ht="15.5">
      <c r="B161" s="25"/>
      <c r="C161" s="24"/>
      <c r="D161" s="24"/>
      <c r="E161" s="24"/>
      <c r="F161" s="24"/>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6"/>
      <c r="BC161" s="26"/>
      <c r="BD161" s="26"/>
      <c r="BE161" s="26"/>
      <c r="BF161" s="26"/>
      <c r="BG161" s="26"/>
      <c r="BH161" s="26"/>
      <c r="BI161" s="26"/>
      <c r="BJ161" s="26"/>
      <c r="BK161" s="27"/>
    </row>
    <row r="162" spans="2:63" ht="15.5">
      <c r="B162" s="25"/>
      <c r="C162" s="24"/>
      <c r="D162" s="24"/>
      <c r="E162" s="24"/>
      <c r="F162" s="24"/>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6"/>
      <c r="BC162" s="26"/>
      <c r="BD162" s="26"/>
      <c r="BE162" s="26"/>
      <c r="BF162" s="26"/>
      <c r="BG162" s="26"/>
      <c r="BH162" s="26"/>
      <c r="BI162" s="26"/>
      <c r="BJ162" s="26"/>
      <c r="BK162" s="27"/>
    </row>
    <row r="163" spans="2:63" ht="15.5">
      <c r="B163" s="25"/>
      <c r="C163" s="24"/>
      <c r="D163" s="24"/>
      <c r="E163" s="24"/>
      <c r="F163" s="24"/>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6"/>
      <c r="BC163" s="26"/>
      <c r="BD163" s="26"/>
      <c r="BE163" s="26"/>
      <c r="BF163" s="26"/>
      <c r="BG163" s="26"/>
      <c r="BH163" s="26"/>
      <c r="BI163" s="26"/>
      <c r="BJ163" s="26"/>
      <c r="BK163" s="27"/>
    </row>
    <row r="164" spans="2:63" ht="15.5">
      <c r="B164" s="25"/>
      <c r="C164" s="24"/>
      <c r="D164" s="24"/>
      <c r="E164" s="24"/>
      <c r="F164" s="24"/>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6"/>
      <c r="BC164" s="26"/>
      <c r="BD164" s="26"/>
      <c r="BE164" s="26"/>
      <c r="BF164" s="26"/>
      <c r="BG164" s="26"/>
      <c r="BH164" s="26"/>
      <c r="BI164" s="26"/>
      <c r="BJ164" s="26"/>
      <c r="BK164" s="27"/>
    </row>
    <row r="165" spans="2:63" ht="15.5">
      <c r="B165" s="25"/>
      <c r="C165" s="24"/>
      <c r="D165" s="24"/>
      <c r="E165" s="24"/>
      <c r="F165" s="24"/>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6"/>
      <c r="BC165" s="26"/>
      <c r="BD165" s="26"/>
      <c r="BE165" s="26"/>
      <c r="BF165" s="26"/>
      <c r="BG165" s="26"/>
      <c r="BH165" s="26"/>
      <c r="BI165" s="26"/>
      <c r="BJ165" s="26"/>
      <c r="BK165" s="27"/>
    </row>
    <row r="166" spans="2:63" ht="15.5">
      <c r="B166" s="25"/>
      <c r="C166" s="24"/>
      <c r="D166" s="24"/>
      <c r="E166" s="24"/>
      <c r="F166" s="24"/>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6"/>
      <c r="BC166" s="26"/>
      <c r="BD166" s="26"/>
      <c r="BE166" s="26"/>
      <c r="BF166" s="26"/>
      <c r="BG166" s="26"/>
      <c r="BH166" s="26"/>
      <c r="BI166" s="26"/>
      <c r="BJ166" s="26"/>
      <c r="BK166" s="27"/>
    </row>
    <row r="167" spans="2:63" ht="15.5">
      <c r="B167" s="25"/>
      <c r="C167" s="24"/>
      <c r="D167" s="24"/>
      <c r="E167" s="24"/>
      <c r="F167" s="24"/>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6"/>
      <c r="BC167" s="26"/>
      <c r="BD167" s="26"/>
      <c r="BE167" s="26"/>
      <c r="BF167" s="26"/>
      <c r="BG167" s="26"/>
      <c r="BH167" s="26"/>
      <c r="BI167" s="26"/>
      <c r="BJ167" s="26"/>
      <c r="BK167" s="27"/>
    </row>
    <row r="168" spans="2:63" ht="15.5">
      <c r="B168" s="25"/>
      <c r="C168" s="24"/>
      <c r="D168" s="24"/>
      <c r="E168" s="24"/>
      <c r="F168" s="24"/>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6"/>
      <c r="BC168" s="26"/>
      <c r="BD168" s="26"/>
      <c r="BE168" s="26"/>
      <c r="BF168" s="26"/>
      <c r="BG168" s="26"/>
      <c r="BH168" s="26"/>
      <c r="BI168" s="26"/>
      <c r="BJ168" s="26"/>
      <c r="BK168" s="27"/>
    </row>
    <row r="169" spans="2:63" ht="15.5">
      <c r="B169" s="25"/>
      <c r="C169" s="24"/>
      <c r="D169" s="24"/>
      <c r="E169" s="24"/>
      <c r="F169" s="24"/>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6"/>
      <c r="BC169" s="26"/>
      <c r="BD169" s="26"/>
      <c r="BE169" s="26"/>
      <c r="BF169" s="26"/>
      <c r="BG169" s="26"/>
      <c r="BH169" s="26"/>
      <c r="BI169" s="26"/>
      <c r="BJ169" s="26"/>
      <c r="BK169" s="27"/>
    </row>
    <row r="170" spans="2:63" ht="15.5">
      <c r="B170" s="25"/>
      <c r="C170" s="24"/>
      <c r="D170" s="24"/>
      <c r="E170" s="24"/>
      <c r="F170" s="24"/>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6"/>
      <c r="BC170" s="26"/>
      <c r="BD170" s="26"/>
      <c r="BE170" s="26"/>
      <c r="BF170" s="26"/>
      <c r="BG170" s="26"/>
      <c r="BH170" s="26"/>
      <c r="BI170" s="26"/>
      <c r="BJ170" s="26"/>
      <c r="BK170" s="27"/>
    </row>
    <row r="171" spans="2:63" ht="15.5">
      <c r="B171" s="25"/>
      <c r="C171" s="24"/>
      <c r="D171" s="24"/>
      <c r="E171" s="24"/>
      <c r="F171" s="24"/>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6"/>
      <c r="BC171" s="26"/>
      <c r="BD171" s="26"/>
      <c r="BE171" s="26"/>
      <c r="BF171" s="26"/>
      <c r="BG171" s="26"/>
      <c r="BH171" s="26"/>
      <c r="BI171" s="26"/>
      <c r="BJ171" s="26"/>
      <c r="BK171" s="27"/>
    </row>
    <row r="172" spans="2:63" ht="15.5">
      <c r="B172" s="25"/>
      <c r="C172" s="24"/>
      <c r="D172" s="24"/>
      <c r="E172" s="24"/>
      <c r="F172" s="24"/>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6"/>
      <c r="BC172" s="26"/>
      <c r="BD172" s="26"/>
      <c r="BE172" s="26"/>
      <c r="BF172" s="26"/>
      <c r="BG172" s="26"/>
      <c r="BH172" s="26"/>
      <c r="BI172" s="26"/>
      <c r="BJ172" s="26"/>
      <c r="BK172" s="27"/>
    </row>
    <row r="173" spans="2:63" ht="15.5">
      <c r="B173" s="25"/>
      <c r="C173" s="24"/>
      <c r="D173" s="24"/>
      <c r="E173" s="24"/>
      <c r="F173" s="24"/>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6"/>
      <c r="BC173" s="26"/>
      <c r="BD173" s="26"/>
      <c r="BE173" s="26"/>
      <c r="BF173" s="26"/>
      <c r="BG173" s="26"/>
      <c r="BH173" s="26"/>
      <c r="BI173" s="26"/>
      <c r="BJ173" s="26"/>
      <c r="BK173" s="27"/>
    </row>
    <row r="174" spans="2:63" ht="15.5">
      <c r="B174" s="25"/>
      <c r="C174" s="24"/>
      <c r="D174" s="24"/>
      <c r="E174" s="24"/>
      <c r="F174" s="24"/>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6"/>
      <c r="BC174" s="26"/>
      <c r="BD174" s="26"/>
      <c r="BE174" s="26"/>
      <c r="BF174" s="26"/>
      <c r="BG174" s="26"/>
      <c r="BH174" s="26"/>
      <c r="BI174" s="26"/>
      <c r="BJ174" s="26"/>
      <c r="BK174" s="27"/>
    </row>
    <row r="175" spans="2:63" ht="15.5">
      <c r="B175" s="25"/>
      <c r="C175" s="24"/>
      <c r="D175" s="24"/>
      <c r="E175" s="24"/>
      <c r="F175" s="24"/>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6"/>
      <c r="BC175" s="26"/>
      <c r="BD175" s="26"/>
      <c r="BE175" s="26"/>
      <c r="BF175" s="26"/>
      <c r="BG175" s="26"/>
      <c r="BH175" s="26"/>
      <c r="BI175" s="26"/>
      <c r="BJ175" s="26"/>
      <c r="BK175" s="27"/>
    </row>
    <row r="176" spans="2:63" ht="15.5">
      <c r="B176" s="25"/>
      <c r="C176" s="24"/>
      <c r="D176" s="24"/>
      <c r="E176" s="24"/>
      <c r="F176" s="24"/>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6"/>
      <c r="BC176" s="26"/>
      <c r="BD176" s="26"/>
      <c r="BE176" s="26"/>
      <c r="BF176" s="26"/>
      <c r="BG176" s="26"/>
      <c r="BH176" s="26"/>
      <c r="BI176" s="26"/>
      <c r="BJ176" s="26"/>
      <c r="BK176" s="27"/>
    </row>
    <row r="177" spans="2:63" ht="15.5">
      <c r="B177" s="25"/>
      <c r="C177" s="24"/>
      <c r="D177" s="24"/>
      <c r="E177" s="24"/>
      <c r="F177" s="24"/>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6"/>
      <c r="BC177" s="26"/>
      <c r="BD177" s="26"/>
      <c r="BE177" s="26"/>
      <c r="BF177" s="26"/>
      <c r="BG177" s="26"/>
      <c r="BH177" s="26"/>
      <c r="BI177" s="26"/>
      <c r="BJ177" s="26"/>
      <c r="BK177" s="27"/>
    </row>
    <row r="178" spans="2:63" ht="15.5">
      <c r="B178" s="25"/>
      <c r="C178" s="24"/>
      <c r="D178" s="24"/>
      <c r="E178" s="24"/>
      <c r="F178" s="24"/>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6"/>
      <c r="BC178" s="26"/>
      <c r="BD178" s="26"/>
      <c r="BE178" s="26"/>
      <c r="BF178" s="26"/>
      <c r="BG178" s="26"/>
      <c r="BH178" s="26"/>
      <c r="BI178" s="26"/>
      <c r="BJ178" s="26"/>
      <c r="BK178" s="27"/>
    </row>
    <row r="179" spans="2:63" ht="15.5">
      <c r="B179" s="25"/>
      <c r="C179" s="24"/>
      <c r="D179" s="24"/>
      <c r="E179" s="24"/>
      <c r="F179" s="24"/>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6"/>
      <c r="BC179" s="26"/>
      <c r="BD179" s="26"/>
      <c r="BE179" s="26"/>
      <c r="BF179" s="26"/>
      <c r="BG179" s="26"/>
      <c r="BH179" s="26"/>
      <c r="BI179" s="26"/>
      <c r="BJ179" s="26"/>
      <c r="BK179" s="27"/>
    </row>
    <row r="180" spans="2:63" ht="15.5">
      <c r="B180" s="25"/>
      <c r="C180" s="24"/>
      <c r="D180" s="24"/>
      <c r="E180" s="24"/>
      <c r="F180" s="24"/>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6"/>
      <c r="BC180" s="26"/>
      <c r="BD180" s="26"/>
      <c r="BE180" s="26"/>
      <c r="BF180" s="26"/>
      <c r="BG180" s="26"/>
      <c r="BH180" s="26"/>
      <c r="BI180" s="26"/>
      <c r="BJ180" s="26"/>
      <c r="BK180" s="27"/>
    </row>
    <row r="181" spans="2:63" ht="15.5">
      <c r="B181" s="25"/>
      <c r="C181" s="24"/>
      <c r="D181" s="24"/>
      <c r="E181" s="24"/>
      <c r="F181" s="24"/>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6"/>
      <c r="BC181" s="26"/>
      <c r="BD181" s="26"/>
      <c r="BE181" s="26"/>
      <c r="BF181" s="26"/>
      <c r="BG181" s="26"/>
      <c r="BH181" s="26"/>
      <c r="BI181" s="26"/>
      <c r="BJ181" s="26"/>
      <c r="BK181" s="27"/>
    </row>
    <row r="182" spans="2:63" ht="15.5">
      <c r="B182" s="25"/>
      <c r="C182" s="24"/>
      <c r="D182" s="24"/>
      <c r="E182" s="24"/>
      <c r="F182" s="24"/>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6"/>
      <c r="BC182" s="26"/>
      <c r="BD182" s="26"/>
      <c r="BE182" s="26"/>
      <c r="BF182" s="26"/>
      <c r="BG182" s="26"/>
      <c r="BH182" s="26"/>
      <c r="BI182" s="26"/>
      <c r="BJ182" s="26"/>
      <c r="BK182" s="27"/>
    </row>
    <row r="183" spans="2:63" ht="15.5">
      <c r="B183" s="25"/>
      <c r="C183" s="24"/>
      <c r="D183" s="24"/>
      <c r="E183" s="24"/>
      <c r="F183" s="24"/>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6"/>
      <c r="BC183" s="26"/>
      <c r="BD183" s="26"/>
      <c r="BE183" s="26"/>
      <c r="BF183" s="26"/>
      <c r="BG183" s="26"/>
      <c r="BH183" s="26"/>
      <c r="BI183" s="26"/>
      <c r="BJ183" s="26"/>
      <c r="BK183" s="27"/>
    </row>
    <row r="184" spans="2:63" ht="15.5">
      <c r="B184" s="25"/>
      <c r="C184" s="24"/>
      <c r="D184" s="24"/>
      <c r="E184" s="24"/>
      <c r="F184" s="24"/>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6"/>
      <c r="BC184" s="26"/>
      <c r="BD184" s="26"/>
      <c r="BE184" s="26"/>
      <c r="BF184" s="26"/>
      <c r="BG184" s="26"/>
      <c r="BH184" s="26"/>
      <c r="BI184" s="26"/>
      <c r="BJ184" s="26"/>
      <c r="BK184" s="27"/>
    </row>
    <row r="185" spans="2:63" ht="15.5">
      <c r="B185" s="25"/>
      <c r="C185" s="24"/>
      <c r="D185" s="24"/>
      <c r="E185" s="24"/>
      <c r="F185" s="24"/>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6"/>
      <c r="BC185" s="26"/>
      <c r="BD185" s="26"/>
      <c r="BE185" s="26"/>
      <c r="BF185" s="26"/>
      <c r="BG185" s="26"/>
      <c r="BH185" s="26"/>
      <c r="BI185" s="26"/>
      <c r="BJ185" s="26"/>
      <c r="BK185" s="27"/>
    </row>
    <row r="186" spans="2:63" ht="15.5">
      <c r="B186" s="25"/>
      <c r="C186" s="24"/>
      <c r="D186" s="24"/>
      <c r="E186" s="24"/>
      <c r="F186" s="24"/>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6"/>
      <c r="BC186" s="26"/>
      <c r="BD186" s="26"/>
      <c r="BE186" s="26"/>
      <c r="BF186" s="26"/>
      <c r="BG186" s="26"/>
      <c r="BH186" s="26"/>
      <c r="BI186" s="26"/>
      <c r="BJ186" s="26"/>
      <c r="BK186" s="27"/>
    </row>
    <row r="187" spans="2:63" ht="15.5">
      <c r="B187" s="25"/>
      <c r="C187" s="24"/>
      <c r="D187" s="24"/>
      <c r="E187" s="24"/>
      <c r="F187" s="24"/>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6"/>
      <c r="BC187" s="26"/>
      <c r="BD187" s="26"/>
      <c r="BE187" s="26"/>
      <c r="BF187" s="26"/>
      <c r="BG187" s="26"/>
      <c r="BH187" s="26"/>
      <c r="BI187" s="26"/>
      <c r="BJ187" s="26"/>
      <c r="BK187" s="27"/>
    </row>
    <row r="188" spans="2:63" ht="15.5">
      <c r="B188" s="25"/>
      <c r="C188" s="24"/>
      <c r="D188" s="24"/>
      <c r="E188" s="24"/>
      <c r="F188" s="24"/>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6"/>
      <c r="BC188" s="26"/>
      <c r="BD188" s="26"/>
      <c r="BE188" s="26"/>
      <c r="BF188" s="26"/>
      <c r="BG188" s="26"/>
      <c r="BH188" s="26"/>
      <c r="BI188" s="26"/>
      <c r="BJ188" s="26"/>
      <c r="BK188" s="27"/>
    </row>
    <row r="189" spans="2:63" ht="15.5">
      <c r="B189" s="25"/>
      <c r="C189" s="24"/>
      <c r="D189" s="24"/>
      <c r="E189" s="24"/>
      <c r="F189" s="24"/>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6"/>
      <c r="BC189" s="26"/>
      <c r="BD189" s="26"/>
      <c r="BE189" s="26"/>
      <c r="BF189" s="26"/>
      <c r="BG189" s="26"/>
      <c r="BH189" s="26"/>
      <c r="BI189" s="26"/>
      <c r="BJ189" s="26"/>
      <c r="BK189" s="27"/>
    </row>
    <row r="190" spans="2:63" ht="15.5">
      <c r="B190" s="25"/>
      <c r="C190" s="24"/>
      <c r="D190" s="24"/>
      <c r="E190" s="24"/>
      <c r="F190" s="24"/>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6"/>
      <c r="BC190" s="26"/>
      <c r="BD190" s="26"/>
      <c r="BE190" s="26"/>
      <c r="BF190" s="26"/>
      <c r="BG190" s="26"/>
      <c r="BH190" s="26"/>
      <c r="BI190" s="26"/>
      <c r="BJ190" s="26"/>
      <c r="BK190" s="27"/>
    </row>
    <row r="191" spans="2:63" ht="15.5">
      <c r="B191" s="25"/>
      <c r="C191" s="24"/>
      <c r="D191" s="24"/>
      <c r="E191" s="24"/>
      <c r="F191" s="24"/>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6"/>
      <c r="BC191" s="26"/>
      <c r="BD191" s="26"/>
      <c r="BE191" s="26"/>
      <c r="BF191" s="26"/>
      <c r="BG191" s="26"/>
      <c r="BH191" s="26"/>
      <c r="BI191" s="26"/>
      <c r="BJ191" s="26"/>
      <c r="BK191" s="27"/>
    </row>
    <row r="192" spans="2:63" ht="15.5">
      <c r="B192" s="25"/>
      <c r="C192" s="24"/>
      <c r="D192" s="24"/>
      <c r="E192" s="24"/>
      <c r="F192" s="24"/>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6"/>
      <c r="BC192" s="26"/>
      <c r="BD192" s="26"/>
      <c r="BE192" s="26"/>
      <c r="BF192" s="26"/>
      <c r="BG192" s="26"/>
      <c r="BH192" s="26"/>
      <c r="BI192" s="26"/>
      <c r="BJ192" s="26"/>
      <c r="BK192" s="27"/>
    </row>
    <row r="193" spans="2:63" ht="15.5">
      <c r="B193" s="25"/>
      <c r="C193" s="24"/>
      <c r="D193" s="24"/>
      <c r="E193" s="24"/>
      <c r="F193" s="24"/>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6"/>
      <c r="BC193" s="26"/>
      <c r="BD193" s="26"/>
      <c r="BE193" s="26"/>
      <c r="BF193" s="26"/>
      <c r="BG193" s="26"/>
      <c r="BH193" s="26"/>
      <c r="BI193" s="26"/>
      <c r="BJ193" s="26"/>
      <c r="BK193" s="27"/>
    </row>
    <row r="194" spans="2:63" ht="15.5">
      <c r="B194" s="25"/>
      <c r="C194" s="24"/>
      <c r="D194" s="24"/>
      <c r="E194" s="24"/>
      <c r="F194" s="24"/>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6"/>
      <c r="BC194" s="26"/>
      <c r="BD194" s="26"/>
      <c r="BE194" s="26"/>
      <c r="BF194" s="26"/>
      <c r="BG194" s="26"/>
      <c r="BH194" s="26"/>
      <c r="BI194" s="26"/>
      <c r="BJ194" s="26"/>
      <c r="BK194" s="27"/>
    </row>
    <row r="195" spans="2:63" ht="15.5">
      <c r="B195" s="25"/>
      <c r="C195" s="24"/>
      <c r="D195" s="24"/>
      <c r="E195" s="24"/>
      <c r="F195" s="24"/>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6"/>
      <c r="BC195" s="26"/>
      <c r="BD195" s="26"/>
      <c r="BE195" s="26"/>
      <c r="BF195" s="26"/>
      <c r="BG195" s="26"/>
      <c r="BH195" s="26"/>
      <c r="BI195" s="26"/>
      <c r="BJ195" s="26"/>
      <c r="BK195" s="27"/>
    </row>
    <row r="196" spans="2:63" ht="15.5">
      <c r="B196" s="25"/>
      <c r="C196" s="24"/>
      <c r="D196" s="24"/>
      <c r="E196" s="24"/>
      <c r="F196" s="24"/>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6"/>
      <c r="BC196" s="26"/>
      <c r="BD196" s="26"/>
      <c r="BE196" s="26"/>
      <c r="BF196" s="26"/>
      <c r="BG196" s="26"/>
      <c r="BH196" s="26"/>
      <c r="BI196" s="26"/>
      <c r="BJ196" s="26"/>
      <c r="BK196" s="27"/>
    </row>
    <row r="197" spans="2:63" ht="15.5">
      <c r="B197" s="25"/>
      <c r="C197" s="24"/>
      <c r="D197" s="24"/>
      <c r="E197" s="24"/>
      <c r="F197" s="24"/>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6"/>
      <c r="BC197" s="26"/>
      <c r="BD197" s="26"/>
      <c r="BE197" s="26"/>
      <c r="BF197" s="26"/>
      <c r="BG197" s="26"/>
      <c r="BH197" s="26"/>
      <c r="BI197" s="26"/>
      <c r="BJ197" s="26"/>
      <c r="BK197" s="27"/>
    </row>
    <row r="198" spans="2:63" ht="15.5">
      <c r="B198" s="25"/>
      <c r="C198" s="24"/>
      <c r="D198" s="24"/>
      <c r="E198" s="24"/>
      <c r="F198" s="24"/>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6"/>
      <c r="BC198" s="26"/>
      <c r="BD198" s="26"/>
      <c r="BE198" s="26"/>
      <c r="BF198" s="26"/>
      <c r="BG198" s="26"/>
      <c r="BH198" s="26"/>
      <c r="BI198" s="26"/>
      <c r="BJ198" s="26"/>
      <c r="BK198" s="27"/>
    </row>
    <row r="199" spans="2:63" ht="15.5">
      <c r="B199" s="25"/>
      <c r="C199" s="24"/>
      <c r="D199" s="24"/>
      <c r="E199" s="24"/>
      <c r="F199" s="24"/>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6"/>
      <c r="BC199" s="26"/>
      <c r="BD199" s="26"/>
      <c r="BE199" s="26"/>
      <c r="BF199" s="26"/>
      <c r="BG199" s="26"/>
      <c r="BH199" s="26"/>
      <c r="BI199" s="26"/>
      <c r="BJ199" s="26"/>
      <c r="BK199" s="27"/>
    </row>
    <row r="200" spans="2:63" ht="15.5">
      <c r="B200" s="25"/>
      <c r="C200" s="24"/>
      <c r="D200" s="24"/>
      <c r="E200" s="24"/>
      <c r="F200" s="24"/>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6"/>
      <c r="BC200" s="26"/>
      <c r="BD200" s="26"/>
      <c r="BE200" s="26"/>
      <c r="BF200" s="26"/>
      <c r="BG200" s="26"/>
      <c r="BH200" s="26"/>
      <c r="BI200" s="26"/>
      <c r="BJ200" s="26"/>
      <c r="BK200" s="27"/>
    </row>
    <row r="201" spans="2:63" ht="15.5">
      <c r="B201" s="25"/>
      <c r="C201" s="24"/>
      <c r="D201" s="24"/>
      <c r="E201" s="24"/>
      <c r="F201" s="24"/>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6"/>
      <c r="BC201" s="26"/>
      <c r="BD201" s="26"/>
      <c r="BE201" s="26"/>
      <c r="BF201" s="26"/>
      <c r="BG201" s="26"/>
      <c r="BH201" s="26"/>
      <c r="BI201" s="26"/>
      <c r="BJ201" s="26"/>
      <c r="BK201" s="27"/>
    </row>
    <row r="202" spans="2:63" ht="15.5">
      <c r="B202" s="25"/>
      <c r="C202" s="24"/>
      <c r="D202" s="24"/>
      <c r="E202" s="24"/>
      <c r="F202" s="24"/>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6"/>
      <c r="BC202" s="26"/>
      <c r="BD202" s="26"/>
      <c r="BE202" s="26"/>
      <c r="BF202" s="26"/>
      <c r="BG202" s="26"/>
      <c r="BH202" s="26"/>
      <c r="BI202" s="26"/>
      <c r="BJ202" s="26"/>
      <c r="BK202" s="27"/>
    </row>
    <row r="203" spans="2:63" ht="15.5">
      <c r="B203" s="25"/>
      <c r="C203" s="24"/>
      <c r="D203" s="24"/>
      <c r="E203" s="24"/>
      <c r="F203" s="24"/>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6"/>
      <c r="BC203" s="26"/>
      <c r="BD203" s="26"/>
      <c r="BE203" s="26"/>
      <c r="BF203" s="26"/>
      <c r="BG203" s="26"/>
      <c r="BH203" s="26"/>
      <c r="BI203" s="26"/>
      <c r="BJ203" s="26"/>
      <c r="BK203" s="27"/>
    </row>
    <row r="204" spans="2:63" ht="15.5">
      <c r="B204" s="25"/>
      <c r="C204" s="24"/>
      <c r="D204" s="24"/>
      <c r="E204" s="24"/>
      <c r="F204" s="24"/>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6"/>
      <c r="BC204" s="26"/>
      <c r="BD204" s="26"/>
      <c r="BE204" s="26"/>
      <c r="BF204" s="26"/>
      <c r="BG204" s="26"/>
      <c r="BH204" s="26"/>
      <c r="BI204" s="26"/>
      <c r="BJ204" s="26"/>
      <c r="BK204" s="27"/>
    </row>
    <row r="205" spans="2:63" ht="15.5">
      <c r="B205" s="25"/>
      <c r="C205" s="24"/>
      <c r="D205" s="24"/>
      <c r="E205" s="24"/>
      <c r="F205" s="24"/>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6"/>
      <c r="BC205" s="26"/>
      <c r="BD205" s="26"/>
      <c r="BE205" s="26"/>
      <c r="BF205" s="26"/>
      <c r="BG205" s="26"/>
      <c r="BH205" s="26"/>
      <c r="BI205" s="26"/>
      <c r="BJ205" s="26"/>
      <c r="BK205" s="27"/>
    </row>
    <row r="206" spans="2:63" ht="15.5">
      <c r="B206" s="25"/>
      <c r="C206" s="24"/>
      <c r="D206" s="24"/>
      <c r="E206" s="24"/>
      <c r="F206" s="24"/>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6"/>
      <c r="BC206" s="26"/>
      <c r="BD206" s="26"/>
      <c r="BE206" s="26"/>
      <c r="BF206" s="26"/>
      <c r="BG206" s="26"/>
      <c r="BH206" s="26"/>
      <c r="BI206" s="26"/>
      <c r="BJ206" s="26"/>
      <c r="BK206" s="27"/>
    </row>
    <row r="207" spans="2:63" ht="15.5">
      <c r="B207" s="25"/>
      <c r="C207" s="24"/>
      <c r="D207" s="24"/>
      <c r="E207" s="24"/>
      <c r="F207" s="24"/>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6"/>
      <c r="BC207" s="26"/>
      <c r="BD207" s="26"/>
      <c r="BE207" s="26"/>
      <c r="BF207" s="26"/>
      <c r="BG207" s="26"/>
      <c r="BH207" s="26"/>
      <c r="BI207" s="26"/>
      <c r="BJ207" s="26"/>
      <c r="BK207" s="27"/>
    </row>
    <row r="208" spans="2:63" ht="15.5">
      <c r="B208" s="25"/>
      <c r="C208" s="24"/>
      <c r="D208" s="24"/>
      <c r="E208" s="24"/>
      <c r="F208" s="24"/>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6"/>
      <c r="BC208" s="26"/>
      <c r="BD208" s="26"/>
      <c r="BE208" s="26"/>
      <c r="BF208" s="26"/>
      <c r="BG208" s="26"/>
      <c r="BH208" s="26"/>
      <c r="BI208" s="26"/>
      <c r="BJ208" s="26"/>
      <c r="BK208" s="27"/>
    </row>
    <row r="209" spans="2:63" ht="15.5">
      <c r="B209" s="25"/>
      <c r="C209" s="24"/>
      <c r="D209" s="24"/>
      <c r="E209" s="24"/>
      <c r="F209" s="24"/>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6"/>
      <c r="BC209" s="26"/>
      <c r="BD209" s="26"/>
      <c r="BE209" s="26"/>
      <c r="BF209" s="26"/>
      <c r="BG209" s="26"/>
      <c r="BH209" s="26"/>
      <c r="BI209" s="26"/>
      <c r="BJ209" s="26"/>
      <c r="BK209" s="27"/>
    </row>
    <row r="210" spans="2:63" ht="15.5">
      <c r="B210" s="25"/>
      <c r="C210" s="24"/>
      <c r="D210" s="24"/>
      <c r="E210" s="24"/>
      <c r="F210" s="24"/>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6"/>
      <c r="BC210" s="26"/>
      <c r="BD210" s="26"/>
      <c r="BE210" s="26"/>
      <c r="BF210" s="26"/>
      <c r="BG210" s="26"/>
      <c r="BH210" s="26"/>
      <c r="BI210" s="26"/>
      <c r="BJ210" s="26"/>
      <c r="BK210" s="27"/>
    </row>
    <row r="211" spans="2:63" ht="15.5">
      <c r="B211" s="25"/>
      <c r="C211" s="24"/>
      <c r="D211" s="24"/>
      <c r="E211" s="24"/>
      <c r="F211" s="24"/>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6"/>
      <c r="BC211" s="26"/>
      <c r="BD211" s="26"/>
      <c r="BE211" s="26"/>
      <c r="BF211" s="26"/>
      <c r="BG211" s="26"/>
      <c r="BH211" s="26"/>
      <c r="BI211" s="26"/>
      <c r="BJ211" s="26"/>
      <c r="BK211" s="27"/>
    </row>
    <row r="212" spans="2:63" ht="15.5">
      <c r="B212" s="25"/>
      <c r="C212" s="24"/>
      <c r="D212" s="24"/>
      <c r="E212" s="24"/>
      <c r="F212" s="24"/>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6"/>
      <c r="BC212" s="26"/>
      <c r="BD212" s="26"/>
      <c r="BE212" s="26"/>
      <c r="BF212" s="26"/>
      <c r="BG212" s="26"/>
      <c r="BH212" s="26"/>
      <c r="BI212" s="26"/>
      <c r="BJ212" s="26"/>
      <c r="BK212" s="27"/>
    </row>
    <row r="213" spans="2:63" ht="15.5">
      <c r="B213" s="25"/>
      <c r="C213" s="24"/>
      <c r="D213" s="24"/>
      <c r="E213" s="24"/>
      <c r="F213" s="24"/>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6"/>
      <c r="BC213" s="26"/>
      <c r="BD213" s="26"/>
      <c r="BE213" s="26"/>
      <c r="BF213" s="26"/>
      <c r="BG213" s="26"/>
      <c r="BH213" s="26"/>
      <c r="BI213" s="26"/>
      <c r="BJ213" s="26"/>
      <c r="BK213" s="27"/>
    </row>
    <row r="214" spans="2:63" ht="15.5">
      <c r="B214" s="25"/>
      <c r="C214" s="24"/>
      <c r="D214" s="24"/>
      <c r="E214" s="24"/>
      <c r="F214" s="24"/>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6"/>
      <c r="BC214" s="26"/>
      <c r="BD214" s="26"/>
      <c r="BE214" s="26"/>
      <c r="BF214" s="26"/>
      <c r="BG214" s="26"/>
      <c r="BH214" s="26"/>
      <c r="BI214" s="26"/>
      <c r="BJ214" s="26"/>
      <c r="BK214" s="27"/>
    </row>
    <row r="215" spans="2:63" ht="15.5">
      <c r="B215" s="25"/>
      <c r="C215" s="24"/>
      <c r="D215" s="24"/>
      <c r="E215" s="24"/>
      <c r="F215" s="24"/>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6"/>
      <c r="BC215" s="26"/>
      <c r="BD215" s="26"/>
      <c r="BE215" s="26"/>
      <c r="BF215" s="26"/>
      <c r="BG215" s="26"/>
      <c r="BH215" s="26"/>
      <c r="BI215" s="26"/>
      <c r="BJ215" s="26"/>
      <c r="BK215" s="27"/>
    </row>
    <row r="216" spans="2:63" ht="15.5">
      <c r="B216" s="25"/>
      <c r="C216" s="24"/>
      <c r="D216" s="24"/>
      <c r="E216" s="24"/>
      <c r="F216" s="24"/>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6"/>
      <c r="BC216" s="26"/>
      <c r="BD216" s="26"/>
      <c r="BE216" s="26"/>
      <c r="BF216" s="26"/>
      <c r="BG216" s="26"/>
      <c r="BH216" s="26"/>
      <c r="BI216" s="26"/>
      <c r="BJ216" s="26"/>
      <c r="BK216" s="27"/>
    </row>
    <row r="217" spans="2:63" ht="15.5">
      <c r="B217" s="25"/>
      <c r="C217" s="24"/>
      <c r="D217" s="24"/>
      <c r="E217" s="24"/>
      <c r="F217" s="24"/>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6"/>
      <c r="BC217" s="26"/>
      <c r="BD217" s="26"/>
      <c r="BE217" s="26"/>
      <c r="BF217" s="26"/>
      <c r="BG217" s="26"/>
      <c r="BH217" s="26"/>
      <c r="BI217" s="26"/>
      <c r="BJ217" s="26"/>
      <c r="BK217" s="27"/>
    </row>
    <row r="218" spans="2:63" ht="15.5">
      <c r="B218" s="25"/>
      <c r="C218" s="24"/>
      <c r="D218" s="24"/>
      <c r="E218" s="24"/>
      <c r="F218" s="24"/>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6"/>
      <c r="BC218" s="26"/>
      <c r="BD218" s="26"/>
      <c r="BE218" s="26"/>
      <c r="BF218" s="26"/>
      <c r="BG218" s="26"/>
      <c r="BH218" s="26"/>
      <c r="BI218" s="26"/>
      <c r="BJ218" s="26"/>
      <c r="BK218" s="27"/>
    </row>
    <row r="219" spans="2:63" ht="15.5">
      <c r="B219" s="25"/>
      <c r="C219" s="24"/>
      <c r="D219" s="24"/>
      <c r="E219" s="24"/>
      <c r="F219" s="24"/>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6"/>
      <c r="BC219" s="26"/>
      <c r="BD219" s="26"/>
      <c r="BE219" s="26"/>
      <c r="BF219" s="26"/>
      <c r="BG219" s="26"/>
      <c r="BH219" s="26"/>
      <c r="BI219" s="26"/>
      <c r="BJ219" s="26"/>
      <c r="BK219" s="27"/>
    </row>
    <row r="220" spans="2:63" ht="15.5">
      <c r="B220" s="25"/>
      <c r="C220" s="24"/>
      <c r="D220" s="24"/>
      <c r="E220" s="24"/>
      <c r="F220" s="24"/>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6"/>
      <c r="BC220" s="26"/>
      <c r="BD220" s="26"/>
      <c r="BE220" s="26"/>
      <c r="BF220" s="26"/>
      <c r="BG220" s="26"/>
      <c r="BH220" s="26"/>
      <c r="BI220" s="26"/>
      <c r="BJ220" s="26"/>
      <c r="BK220" s="27"/>
    </row>
    <row r="221" spans="2:63" ht="15.5">
      <c r="B221" s="25"/>
      <c r="C221" s="24"/>
      <c r="D221" s="24"/>
      <c r="E221" s="24"/>
      <c r="F221" s="24"/>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6"/>
      <c r="BC221" s="26"/>
      <c r="BD221" s="26"/>
      <c r="BE221" s="26"/>
      <c r="BF221" s="26"/>
      <c r="BG221" s="26"/>
      <c r="BH221" s="26"/>
      <c r="BI221" s="26"/>
      <c r="BJ221" s="26"/>
      <c r="BK221" s="27"/>
    </row>
    <row r="222" spans="2:63" ht="15.5">
      <c r="B222" s="25"/>
      <c r="C222" s="24"/>
      <c r="D222" s="24"/>
      <c r="E222" s="24"/>
      <c r="F222" s="24"/>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6"/>
      <c r="BC222" s="26"/>
      <c r="BD222" s="26"/>
      <c r="BE222" s="26"/>
      <c r="BF222" s="26"/>
      <c r="BG222" s="26"/>
      <c r="BH222" s="26"/>
      <c r="BI222" s="26"/>
      <c r="BJ222" s="26"/>
      <c r="BK222" s="27"/>
    </row>
    <row r="223" spans="2:63" ht="15.5">
      <c r="B223" s="25"/>
      <c r="C223" s="24"/>
      <c r="D223" s="24"/>
      <c r="E223" s="24"/>
      <c r="F223" s="24"/>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6"/>
      <c r="BC223" s="26"/>
      <c r="BD223" s="26"/>
      <c r="BE223" s="26"/>
      <c r="BF223" s="26"/>
      <c r="BG223" s="26"/>
      <c r="BH223" s="26"/>
      <c r="BI223" s="26"/>
      <c r="BJ223" s="26"/>
      <c r="BK223" s="27"/>
    </row>
    <row r="224" spans="2:63" ht="15.5">
      <c r="B224" s="25"/>
      <c r="C224" s="24"/>
      <c r="D224" s="24"/>
      <c r="E224" s="24"/>
      <c r="F224" s="24"/>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6"/>
      <c r="BC224" s="26"/>
      <c r="BD224" s="26"/>
      <c r="BE224" s="26"/>
      <c r="BF224" s="26"/>
      <c r="BG224" s="26"/>
      <c r="BH224" s="26"/>
      <c r="BI224" s="26"/>
      <c r="BJ224" s="26"/>
      <c r="BK224" s="27"/>
    </row>
    <row r="225" spans="2:63" ht="15.5">
      <c r="B225" s="25"/>
      <c r="C225" s="24"/>
      <c r="D225" s="24"/>
      <c r="E225" s="24"/>
      <c r="F225" s="24"/>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6"/>
      <c r="BC225" s="26"/>
      <c r="BD225" s="26"/>
      <c r="BE225" s="26"/>
      <c r="BF225" s="26"/>
      <c r="BG225" s="26"/>
      <c r="BH225" s="26"/>
      <c r="BI225" s="26"/>
      <c r="BJ225" s="26"/>
      <c r="BK225" s="27"/>
    </row>
    <row r="226" spans="2:63" ht="15.5">
      <c r="B226" s="25"/>
      <c r="C226" s="24"/>
      <c r="D226" s="24"/>
      <c r="E226" s="24"/>
      <c r="F226" s="24"/>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6"/>
      <c r="BC226" s="26"/>
      <c r="BD226" s="26"/>
      <c r="BE226" s="26"/>
      <c r="BF226" s="26"/>
      <c r="BG226" s="26"/>
      <c r="BH226" s="26"/>
      <c r="BI226" s="26"/>
      <c r="BJ226" s="26"/>
      <c r="BK226" s="27"/>
    </row>
    <row r="227" spans="2:63" ht="15.5">
      <c r="B227" s="25"/>
      <c r="C227" s="24"/>
      <c r="D227" s="24"/>
      <c r="E227" s="24"/>
      <c r="F227" s="24"/>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6"/>
      <c r="BC227" s="26"/>
      <c r="BD227" s="26"/>
      <c r="BE227" s="26"/>
      <c r="BF227" s="26"/>
      <c r="BG227" s="26"/>
      <c r="BH227" s="26"/>
      <c r="BI227" s="26"/>
      <c r="BJ227" s="26"/>
      <c r="BK227" s="27"/>
    </row>
    <row r="228" spans="2:63" ht="15.5">
      <c r="B228" s="25"/>
      <c r="C228" s="24"/>
      <c r="D228" s="24"/>
      <c r="E228" s="24"/>
      <c r="F228" s="24"/>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6"/>
      <c r="BC228" s="26"/>
      <c r="BD228" s="26"/>
      <c r="BE228" s="26"/>
      <c r="BF228" s="26"/>
      <c r="BG228" s="26"/>
      <c r="BH228" s="26"/>
      <c r="BI228" s="26"/>
      <c r="BJ228" s="26"/>
      <c r="BK228" s="27"/>
    </row>
    <row r="229" spans="2:63" ht="15.5">
      <c r="B229" s="25"/>
      <c r="C229" s="24"/>
      <c r="D229" s="24"/>
      <c r="E229" s="24"/>
      <c r="F229" s="24"/>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6"/>
      <c r="BC229" s="26"/>
      <c r="BD229" s="26"/>
      <c r="BE229" s="26"/>
      <c r="BF229" s="26"/>
      <c r="BG229" s="26"/>
      <c r="BH229" s="26"/>
      <c r="BI229" s="26"/>
      <c r="BJ229" s="26"/>
      <c r="BK229" s="27"/>
    </row>
    <row r="230" spans="2:63" ht="15.5">
      <c r="B230" s="25"/>
      <c r="C230" s="24"/>
      <c r="D230" s="24"/>
      <c r="E230" s="24"/>
      <c r="F230" s="24"/>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6"/>
      <c r="BC230" s="26"/>
      <c r="BD230" s="26"/>
      <c r="BE230" s="26"/>
      <c r="BF230" s="26"/>
      <c r="BG230" s="26"/>
      <c r="BH230" s="26"/>
      <c r="BI230" s="26"/>
      <c r="BJ230" s="26"/>
      <c r="BK230" s="27"/>
    </row>
    <row r="231" spans="2:63" ht="15.5">
      <c r="B231" s="25"/>
      <c r="C231" s="24"/>
      <c r="D231" s="24"/>
      <c r="E231" s="24"/>
      <c r="F231" s="24"/>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6"/>
      <c r="BC231" s="26"/>
      <c r="BD231" s="26"/>
      <c r="BE231" s="26"/>
      <c r="BF231" s="26"/>
      <c r="BG231" s="26"/>
      <c r="BH231" s="26"/>
      <c r="BI231" s="26"/>
      <c r="BJ231" s="26"/>
      <c r="BK231" s="27"/>
    </row>
    <row r="232" spans="2:63" ht="15.5">
      <c r="B232" s="25"/>
      <c r="C232" s="24"/>
      <c r="D232" s="24"/>
      <c r="E232" s="24"/>
      <c r="F232" s="24"/>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6"/>
      <c r="BC232" s="26"/>
      <c r="BD232" s="26"/>
      <c r="BE232" s="26"/>
      <c r="BF232" s="26"/>
      <c r="BG232" s="26"/>
      <c r="BH232" s="26"/>
      <c r="BI232" s="26"/>
      <c r="BJ232" s="26"/>
      <c r="BK232" s="27"/>
    </row>
    <row r="233" spans="2:63" ht="15.5">
      <c r="B233" s="25"/>
      <c r="C233" s="24"/>
      <c r="D233" s="24"/>
      <c r="E233" s="24"/>
      <c r="F233" s="24"/>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6"/>
      <c r="BC233" s="26"/>
      <c r="BD233" s="26"/>
      <c r="BE233" s="26"/>
      <c r="BF233" s="26"/>
      <c r="BG233" s="26"/>
      <c r="BH233" s="26"/>
      <c r="BI233" s="26"/>
      <c r="BJ233" s="26"/>
      <c r="BK233" s="27"/>
    </row>
    <row r="234" spans="2:63" ht="15.5">
      <c r="B234" s="25"/>
      <c r="C234" s="24"/>
      <c r="D234" s="24"/>
      <c r="E234" s="24"/>
      <c r="F234" s="24"/>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6"/>
      <c r="BC234" s="26"/>
      <c r="BD234" s="26"/>
      <c r="BE234" s="26"/>
      <c r="BF234" s="26"/>
      <c r="BG234" s="26"/>
      <c r="BH234" s="26"/>
      <c r="BI234" s="26"/>
      <c r="BJ234" s="26"/>
      <c r="BK234" s="27"/>
    </row>
    <row r="235" spans="2:63" ht="15.5">
      <c r="B235" s="25"/>
      <c r="C235" s="24"/>
      <c r="D235" s="24"/>
      <c r="E235" s="24"/>
      <c r="F235" s="24"/>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6"/>
      <c r="BC235" s="26"/>
      <c r="BD235" s="26"/>
      <c r="BE235" s="26"/>
      <c r="BF235" s="26"/>
      <c r="BG235" s="26"/>
      <c r="BH235" s="26"/>
      <c r="BI235" s="26"/>
      <c r="BJ235" s="26"/>
      <c r="BK235" s="27"/>
    </row>
    <row r="236" spans="2:63" ht="15.5">
      <c r="B236" s="25"/>
      <c r="C236" s="24"/>
      <c r="D236" s="24"/>
      <c r="E236" s="24"/>
      <c r="F236" s="24"/>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6"/>
      <c r="BC236" s="26"/>
      <c r="BD236" s="26"/>
      <c r="BE236" s="26"/>
      <c r="BF236" s="26"/>
      <c r="BG236" s="26"/>
      <c r="BH236" s="26"/>
      <c r="BI236" s="26"/>
      <c r="BJ236" s="26"/>
      <c r="BK236" s="27"/>
    </row>
    <row r="237" spans="2:63" ht="15.5">
      <c r="B237" s="25"/>
      <c r="C237" s="24"/>
      <c r="D237" s="24"/>
      <c r="E237" s="24"/>
      <c r="F237" s="24"/>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6"/>
      <c r="BC237" s="26"/>
      <c r="BD237" s="26"/>
      <c r="BE237" s="26"/>
      <c r="BF237" s="26"/>
      <c r="BG237" s="26"/>
      <c r="BH237" s="26"/>
      <c r="BI237" s="26"/>
      <c r="BJ237" s="26"/>
      <c r="BK237" s="27"/>
    </row>
    <row r="238" spans="2:63" ht="15.5">
      <c r="B238" s="25"/>
      <c r="C238" s="24"/>
      <c r="D238" s="24"/>
      <c r="E238" s="24"/>
      <c r="F238" s="24"/>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6"/>
      <c r="BC238" s="26"/>
      <c r="BD238" s="26"/>
      <c r="BE238" s="26"/>
      <c r="BF238" s="26"/>
      <c r="BG238" s="26"/>
      <c r="BH238" s="26"/>
      <c r="BI238" s="26"/>
      <c r="BJ238" s="26"/>
      <c r="BK238" s="27"/>
    </row>
    <row r="239" spans="2:63" ht="15.5">
      <c r="B239" s="25"/>
      <c r="C239" s="24"/>
      <c r="D239" s="24"/>
      <c r="E239" s="24"/>
      <c r="F239" s="24"/>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6"/>
      <c r="BC239" s="26"/>
      <c r="BD239" s="26"/>
      <c r="BE239" s="26"/>
      <c r="BF239" s="26"/>
      <c r="BG239" s="26"/>
      <c r="BH239" s="26"/>
      <c r="BI239" s="26"/>
      <c r="BJ239" s="26"/>
      <c r="BK239" s="27"/>
    </row>
    <row r="240" spans="2:63" ht="15.5">
      <c r="B240" s="25"/>
      <c r="C240" s="24"/>
      <c r="D240" s="24"/>
      <c r="E240" s="24"/>
      <c r="F240" s="24"/>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6"/>
      <c r="BC240" s="26"/>
      <c r="BD240" s="26"/>
      <c r="BE240" s="26"/>
      <c r="BF240" s="26"/>
      <c r="BG240" s="26"/>
      <c r="BH240" s="26"/>
      <c r="BI240" s="26"/>
      <c r="BJ240" s="26"/>
      <c r="BK240" s="27"/>
    </row>
    <row r="241" spans="2:63" ht="15.5">
      <c r="B241" s="25"/>
      <c r="C241" s="24"/>
      <c r="D241" s="24"/>
      <c r="E241" s="24"/>
      <c r="F241" s="24"/>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6"/>
      <c r="BC241" s="26"/>
      <c r="BD241" s="26"/>
      <c r="BE241" s="26"/>
      <c r="BF241" s="26"/>
      <c r="BG241" s="26"/>
      <c r="BH241" s="26"/>
      <c r="BI241" s="26"/>
      <c r="BJ241" s="26"/>
      <c r="BK241" s="27"/>
    </row>
    <row r="242" spans="2:63" ht="15.5">
      <c r="B242" s="25"/>
      <c r="C242" s="24"/>
      <c r="D242" s="24"/>
      <c r="E242" s="24"/>
      <c r="F242" s="24"/>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6"/>
      <c r="BC242" s="26"/>
      <c r="BD242" s="26"/>
      <c r="BE242" s="26"/>
      <c r="BF242" s="26"/>
      <c r="BG242" s="26"/>
      <c r="BH242" s="26"/>
      <c r="BI242" s="26"/>
      <c r="BJ242" s="26"/>
      <c r="BK242" s="27"/>
    </row>
    <row r="243" spans="2:63" ht="15.5">
      <c r="B243" s="25"/>
      <c r="C243" s="24"/>
      <c r="D243" s="24"/>
      <c r="E243" s="24"/>
      <c r="F243" s="24"/>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6"/>
      <c r="BC243" s="26"/>
      <c r="BD243" s="26"/>
      <c r="BE243" s="26"/>
      <c r="BF243" s="26"/>
      <c r="BG243" s="26"/>
      <c r="BH243" s="26"/>
      <c r="BI243" s="26"/>
      <c r="BJ243" s="26"/>
      <c r="BK243" s="27"/>
    </row>
    <row r="244" spans="2:63" ht="15.5">
      <c r="B244" s="25"/>
      <c r="C244" s="24"/>
      <c r="D244" s="24"/>
      <c r="E244" s="24"/>
      <c r="F244" s="24"/>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6"/>
      <c r="BC244" s="26"/>
      <c r="BD244" s="26"/>
      <c r="BE244" s="26"/>
      <c r="BF244" s="26"/>
      <c r="BG244" s="26"/>
      <c r="BH244" s="26"/>
      <c r="BI244" s="26"/>
      <c r="BJ244" s="26"/>
      <c r="BK244" s="27"/>
    </row>
    <row r="245" spans="2:63" ht="15.5">
      <c r="B245" s="25"/>
      <c r="C245" s="24"/>
      <c r="D245" s="24"/>
      <c r="E245" s="24"/>
      <c r="F245" s="24"/>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6"/>
      <c r="BC245" s="26"/>
      <c r="BD245" s="26"/>
      <c r="BE245" s="26"/>
      <c r="BF245" s="26"/>
      <c r="BG245" s="26"/>
      <c r="BH245" s="26"/>
      <c r="BI245" s="26"/>
      <c r="BJ245" s="26"/>
      <c r="BK245" s="27"/>
    </row>
    <row r="246" spans="2:63" ht="15.5">
      <c r="B246" s="25"/>
      <c r="C246" s="24"/>
      <c r="D246" s="24"/>
      <c r="E246" s="24"/>
      <c r="F246" s="24"/>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6"/>
      <c r="BC246" s="26"/>
      <c r="BD246" s="26"/>
      <c r="BE246" s="26"/>
      <c r="BF246" s="26"/>
      <c r="BG246" s="26"/>
      <c r="BH246" s="26"/>
      <c r="BI246" s="26"/>
      <c r="BJ246" s="26"/>
      <c r="BK246" s="27"/>
    </row>
    <row r="247" spans="2:63" ht="15.5">
      <c r="B247" s="25"/>
      <c r="C247" s="24"/>
      <c r="D247" s="24"/>
      <c r="E247" s="24"/>
      <c r="F247" s="24"/>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6"/>
      <c r="BC247" s="26"/>
      <c r="BD247" s="26"/>
      <c r="BE247" s="26"/>
      <c r="BF247" s="26"/>
      <c r="BG247" s="26"/>
      <c r="BH247" s="26"/>
      <c r="BI247" s="26"/>
      <c r="BJ247" s="26"/>
      <c r="BK247" s="27"/>
    </row>
    <row r="248" spans="2:63" ht="15.5">
      <c r="B248" s="25"/>
      <c r="C248" s="24"/>
      <c r="D248" s="24"/>
      <c r="E248" s="24"/>
      <c r="F248" s="24"/>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6"/>
      <c r="BC248" s="26"/>
      <c r="BD248" s="26"/>
      <c r="BE248" s="26"/>
      <c r="BF248" s="26"/>
      <c r="BG248" s="26"/>
      <c r="BH248" s="26"/>
      <c r="BI248" s="26"/>
      <c r="BJ248" s="26"/>
      <c r="BK248" s="27"/>
    </row>
    <row r="249" spans="2:63" ht="15.5">
      <c r="B249" s="25"/>
      <c r="C249" s="24"/>
      <c r="D249" s="24"/>
      <c r="E249" s="24"/>
      <c r="F249" s="24"/>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6"/>
      <c r="BC249" s="26"/>
      <c r="BD249" s="26"/>
      <c r="BE249" s="26"/>
      <c r="BF249" s="26"/>
      <c r="BG249" s="26"/>
      <c r="BH249" s="26"/>
      <c r="BI249" s="26"/>
      <c r="BJ249" s="26"/>
      <c r="BK249" s="27"/>
    </row>
    <row r="250" spans="2:63" ht="15.5">
      <c r="B250" s="25"/>
      <c r="C250" s="24"/>
      <c r="D250" s="24"/>
      <c r="E250" s="24"/>
      <c r="F250" s="24"/>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6"/>
      <c r="BC250" s="26"/>
      <c r="BD250" s="26"/>
      <c r="BE250" s="26"/>
      <c r="BF250" s="26"/>
      <c r="BG250" s="26"/>
      <c r="BH250" s="26"/>
      <c r="BI250" s="26"/>
      <c r="BJ250" s="26"/>
      <c r="BK250" s="27"/>
    </row>
    <row r="251" spans="2:63" ht="15.5">
      <c r="B251" s="25"/>
      <c r="C251" s="24"/>
      <c r="D251" s="24"/>
      <c r="E251" s="24"/>
      <c r="F251" s="24"/>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6"/>
      <c r="BC251" s="26"/>
      <c r="BD251" s="26"/>
      <c r="BE251" s="26"/>
      <c r="BF251" s="26"/>
      <c r="BG251" s="26"/>
      <c r="BH251" s="26"/>
      <c r="BI251" s="26"/>
      <c r="BJ251" s="26"/>
      <c r="BK251" s="27"/>
    </row>
    <row r="252" spans="2:63" ht="15.5">
      <c r="B252" s="25"/>
      <c r="C252" s="24"/>
      <c r="D252" s="24"/>
      <c r="E252" s="24"/>
      <c r="F252" s="24"/>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6"/>
      <c r="BC252" s="26"/>
      <c r="BD252" s="26"/>
      <c r="BE252" s="26"/>
      <c r="BF252" s="26"/>
      <c r="BG252" s="26"/>
      <c r="BH252" s="26"/>
      <c r="BI252" s="26"/>
      <c r="BJ252" s="26"/>
      <c r="BK252" s="27"/>
    </row>
    <row r="253" spans="2:63" ht="15.5">
      <c r="B253" s="25"/>
      <c r="C253" s="24"/>
      <c r="D253" s="24"/>
      <c r="E253" s="24"/>
      <c r="F253" s="24"/>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6"/>
      <c r="BC253" s="26"/>
      <c r="BD253" s="26"/>
      <c r="BE253" s="26"/>
      <c r="BF253" s="26"/>
      <c r="BG253" s="26"/>
      <c r="BH253" s="26"/>
      <c r="BI253" s="26"/>
      <c r="BJ253" s="26"/>
      <c r="BK253" s="27"/>
    </row>
    <row r="254" spans="2:63" ht="15.5">
      <c r="B254" s="25"/>
      <c r="C254" s="24"/>
      <c r="D254" s="24"/>
      <c r="E254" s="24"/>
      <c r="F254" s="24"/>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6"/>
      <c r="BC254" s="26"/>
      <c r="BD254" s="26"/>
      <c r="BE254" s="26"/>
      <c r="BF254" s="26"/>
      <c r="BG254" s="26"/>
      <c r="BH254" s="26"/>
      <c r="BI254" s="26"/>
      <c r="BJ254" s="26"/>
      <c r="BK254" s="27"/>
    </row>
    <row r="255" spans="2:63" ht="15.5">
      <c r="B255" s="25"/>
      <c r="C255" s="24"/>
      <c r="D255" s="24"/>
      <c r="E255" s="24"/>
      <c r="F255" s="24"/>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6"/>
      <c r="BC255" s="26"/>
      <c r="BD255" s="26"/>
      <c r="BE255" s="26"/>
      <c r="BF255" s="26"/>
      <c r="BG255" s="26"/>
      <c r="BH255" s="26"/>
      <c r="BI255" s="26"/>
      <c r="BJ255" s="26"/>
      <c r="BK255" s="27"/>
    </row>
    <row r="256" spans="2:63" ht="15.5">
      <c r="B256" s="25"/>
      <c r="C256" s="24"/>
      <c r="D256" s="24"/>
      <c r="E256" s="24"/>
      <c r="F256" s="24"/>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6"/>
      <c r="BC256" s="26"/>
      <c r="BD256" s="26"/>
      <c r="BE256" s="26"/>
      <c r="BF256" s="26"/>
      <c r="BG256" s="26"/>
      <c r="BH256" s="26"/>
      <c r="BI256" s="26"/>
      <c r="BJ256" s="26"/>
      <c r="BK256" s="27"/>
    </row>
    <row r="257" spans="2:63" ht="15.5">
      <c r="B257" s="25"/>
      <c r="C257" s="24"/>
      <c r="D257" s="24"/>
      <c r="E257" s="24"/>
      <c r="F257" s="24"/>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6"/>
      <c r="BC257" s="26"/>
      <c r="BD257" s="26"/>
      <c r="BE257" s="26"/>
      <c r="BF257" s="26"/>
      <c r="BG257" s="26"/>
      <c r="BH257" s="26"/>
      <c r="BI257" s="26"/>
      <c r="BJ257" s="26"/>
      <c r="BK257" s="27"/>
    </row>
    <row r="258" spans="2:63" ht="15.5">
      <c r="B258" s="25"/>
      <c r="C258" s="24"/>
      <c r="D258" s="24"/>
      <c r="E258" s="24"/>
      <c r="F258" s="24"/>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6"/>
      <c r="BC258" s="26"/>
      <c r="BD258" s="26"/>
      <c r="BE258" s="26"/>
      <c r="BF258" s="26"/>
      <c r="BG258" s="26"/>
      <c r="BH258" s="26"/>
      <c r="BI258" s="26"/>
      <c r="BJ258" s="26"/>
      <c r="BK258" s="27"/>
    </row>
    <row r="259" spans="2:63" ht="15.5">
      <c r="B259" s="25"/>
      <c r="C259" s="24"/>
      <c r="D259" s="24"/>
      <c r="E259" s="24"/>
      <c r="F259" s="24"/>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6"/>
      <c r="BC259" s="26"/>
      <c r="BD259" s="26"/>
      <c r="BE259" s="26"/>
      <c r="BF259" s="26"/>
      <c r="BG259" s="26"/>
      <c r="BH259" s="26"/>
      <c r="BI259" s="26"/>
      <c r="BJ259" s="26"/>
      <c r="BK259" s="27"/>
    </row>
    <row r="260" spans="2:63" ht="15.5">
      <c r="B260" s="25"/>
      <c r="C260" s="24"/>
      <c r="D260" s="24"/>
      <c r="E260" s="24"/>
      <c r="F260" s="24"/>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6"/>
      <c r="BC260" s="26"/>
      <c r="BD260" s="26"/>
      <c r="BE260" s="26"/>
      <c r="BF260" s="26"/>
      <c r="BG260" s="26"/>
      <c r="BH260" s="26"/>
      <c r="BI260" s="26"/>
      <c r="BJ260" s="26"/>
      <c r="BK260" s="27"/>
    </row>
    <row r="261" spans="2:63" ht="15.5">
      <c r="B261" s="25"/>
      <c r="C261" s="24"/>
      <c r="D261" s="24"/>
      <c r="E261" s="24"/>
      <c r="F261" s="24"/>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6"/>
      <c r="BC261" s="26"/>
      <c r="BD261" s="26"/>
      <c r="BE261" s="26"/>
      <c r="BF261" s="26"/>
      <c r="BG261" s="26"/>
      <c r="BH261" s="26"/>
      <c r="BI261" s="26"/>
      <c r="BJ261" s="26"/>
      <c r="BK261" s="27"/>
    </row>
    <row r="262" spans="2:63" ht="15.5">
      <c r="B262" s="25"/>
      <c r="C262" s="24"/>
      <c r="D262" s="24"/>
      <c r="E262" s="24"/>
      <c r="F262" s="24"/>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6"/>
      <c r="BC262" s="26"/>
      <c r="BD262" s="26"/>
      <c r="BE262" s="26"/>
      <c r="BF262" s="26"/>
      <c r="BG262" s="26"/>
      <c r="BH262" s="26"/>
      <c r="BI262" s="26"/>
      <c r="BJ262" s="26"/>
      <c r="BK262" s="27"/>
    </row>
    <row r="263" spans="2:63" ht="15.5">
      <c r="B263" s="25"/>
      <c r="C263" s="24"/>
      <c r="D263" s="24"/>
      <c r="E263" s="24"/>
      <c r="F263" s="24"/>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6"/>
      <c r="BC263" s="26"/>
      <c r="BD263" s="26"/>
      <c r="BE263" s="26"/>
      <c r="BF263" s="26"/>
      <c r="BG263" s="26"/>
      <c r="BH263" s="26"/>
      <c r="BI263" s="26"/>
      <c r="BJ263" s="26"/>
      <c r="BK263" s="27"/>
    </row>
    <row r="264" spans="2:63" ht="15.5">
      <c r="B264" s="25"/>
      <c r="C264" s="24"/>
      <c r="D264" s="24"/>
      <c r="E264" s="24"/>
      <c r="F264" s="24"/>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6"/>
      <c r="BC264" s="26"/>
      <c r="BD264" s="26"/>
      <c r="BE264" s="26"/>
      <c r="BF264" s="26"/>
      <c r="BG264" s="26"/>
      <c r="BH264" s="26"/>
      <c r="BI264" s="26"/>
      <c r="BJ264" s="26"/>
      <c r="BK264" s="27"/>
    </row>
    <row r="265" spans="2:63" ht="15.5">
      <c r="B265" s="25"/>
      <c r="C265" s="24"/>
      <c r="D265" s="24"/>
      <c r="E265" s="24"/>
      <c r="F265" s="24"/>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6"/>
      <c r="BC265" s="26"/>
      <c r="BD265" s="26"/>
      <c r="BE265" s="26"/>
      <c r="BF265" s="26"/>
      <c r="BG265" s="26"/>
      <c r="BH265" s="26"/>
      <c r="BI265" s="26"/>
      <c r="BJ265" s="26"/>
      <c r="BK265" s="27"/>
    </row>
    <row r="266" spans="2:63" ht="15.5">
      <c r="B266" s="25"/>
      <c r="C266" s="24"/>
      <c r="D266" s="24"/>
      <c r="E266" s="24"/>
      <c r="F266" s="24"/>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6"/>
      <c r="BC266" s="26"/>
      <c r="BD266" s="26"/>
      <c r="BE266" s="26"/>
      <c r="BF266" s="26"/>
      <c r="BG266" s="26"/>
      <c r="BH266" s="26"/>
      <c r="BI266" s="26"/>
      <c r="BJ266" s="26"/>
      <c r="BK266" s="27"/>
    </row>
    <row r="267" spans="2:63" ht="15.5">
      <c r="B267" s="25"/>
      <c r="C267" s="24"/>
      <c r="D267" s="24"/>
      <c r="E267" s="24"/>
      <c r="F267" s="24"/>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6"/>
      <c r="BC267" s="26"/>
      <c r="BD267" s="26"/>
      <c r="BE267" s="26"/>
      <c r="BF267" s="26"/>
      <c r="BG267" s="26"/>
      <c r="BH267" s="26"/>
      <c r="BI267" s="26"/>
      <c r="BJ267" s="26"/>
      <c r="BK267" s="27"/>
    </row>
    <row r="268" spans="2:63" ht="15.5">
      <c r="B268" s="25"/>
      <c r="C268" s="24"/>
      <c r="D268" s="24"/>
      <c r="E268" s="24"/>
      <c r="F268" s="24"/>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6"/>
      <c r="BC268" s="26"/>
      <c r="BD268" s="26"/>
      <c r="BE268" s="26"/>
      <c r="BF268" s="26"/>
      <c r="BG268" s="26"/>
      <c r="BH268" s="26"/>
      <c r="BI268" s="26"/>
      <c r="BJ268" s="26"/>
      <c r="BK268" s="27"/>
    </row>
    <row r="269" spans="2:63" ht="15.5">
      <c r="B269" s="25"/>
      <c r="C269" s="24"/>
      <c r="D269" s="24"/>
      <c r="E269" s="24"/>
      <c r="F269" s="24"/>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6"/>
      <c r="BC269" s="26"/>
      <c r="BD269" s="26"/>
      <c r="BE269" s="26"/>
      <c r="BF269" s="26"/>
      <c r="BG269" s="26"/>
      <c r="BH269" s="26"/>
      <c r="BI269" s="26"/>
      <c r="BJ269" s="26"/>
      <c r="BK269" s="27"/>
    </row>
    <row r="270" spans="2:63" ht="15.5">
      <c r="B270" s="25"/>
      <c r="C270" s="24"/>
      <c r="D270" s="24"/>
      <c r="E270" s="24"/>
      <c r="F270" s="24"/>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6"/>
      <c r="BC270" s="26"/>
      <c r="BD270" s="26"/>
      <c r="BE270" s="26"/>
      <c r="BF270" s="26"/>
      <c r="BG270" s="26"/>
      <c r="BH270" s="26"/>
      <c r="BI270" s="26"/>
      <c r="BJ270" s="26"/>
      <c r="BK270" s="27"/>
    </row>
    <row r="271" spans="2:63" ht="15.5">
      <c r="B271" s="25"/>
      <c r="C271" s="24"/>
      <c r="D271" s="24"/>
      <c r="E271" s="24"/>
      <c r="F271" s="24"/>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6"/>
      <c r="BC271" s="26"/>
      <c r="BD271" s="26"/>
      <c r="BE271" s="26"/>
      <c r="BF271" s="26"/>
      <c r="BG271" s="26"/>
      <c r="BH271" s="26"/>
      <c r="BI271" s="26"/>
      <c r="BJ271" s="26"/>
      <c r="BK271" s="27"/>
    </row>
    <row r="272" spans="2:63" ht="15.5">
      <c r="B272" s="25"/>
      <c r="C272" s="24"/>
      <c r="D272" s="24"/>
      <c r="E272" s="24"/>
      <c r="F272" s="24"/>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6"/>
      <c r="BC272" s="26"/>
      <c r="BD272" s="26"/>
      <c r="BE272" s="26"/>
      <c r="BF272" s="26"/>
      <c r="BG272" s="26"/>
      <c r="BH272" s="26"/>
      <c r="BI272" s="26"/>
      <c r="BJ272" s="26"/>
      <c r="BK272" s="27"/>
    </row>
    <row r="273" spans="2:63" ht="15.5">
      <c r="B273" s="25"/>
      <c r="C273" s="24"/>
      <c r="D273" s="24"/>
      <c r="E273" s="24"/>
      <c r="F273" s="24"/>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6"/>
      <c r="BC273" s="26"/>
      <c r="BD273" s="26"/>
      <c r="BE273" s="26"/>
      <c r="BF273" s="26"/>
      <c r="BG273" s="26"/>
      <c r="BH273" s="26"/>
      <c r="BI273" s="26"/>
      <c r="BJ273" s="26"/>
      <c r="BK273" s="27"/>
    </row>
    <row r="274" spans="2:63" ht="15.5">
      <c r="B274" s="25"/>
      <c r="C274" s="24"/>
      <c r="D274" s="24"/>
      <c r="E274" s="24"/>
      <c r="F274" s="24"/>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6"/>
      <c r="BC274" s="26"/>
      <c r="BD274" s="26"/>
      <c r="BE274" s="26"/>
      <c r="BF274" s="26"/>
      <c r="BG274" s="26"/>
      <c r="BH274" s="26"/>
      <c r="BI274" s="26"/>
      <c r="BJ274" s="26"/>
      <c r="BK274" s="27"/>
    </row>
    <row r="275" spans="2:63" ht="15.5">
      <c r="B275" s="25"/>
      <c r="C275" s="24"/>
      <c r="D275" s="24"/>
      <c r="E275" s="24"/>
      <c r="F275" s="24"/>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6"/>
      <c r="BC275" s="26"/>
      <c r="BD275" s="26"/>
      <c r="BE275" s="26"/>
      <c r="BF275" s="26"/>
      <c r="BG275" s="26"/>
      <c r="BH275" s="26"/>
      <c r="BI275" s="26"/>
      <c r="BJ275" s="26"/>
      <c r="BK275" s="27"/>
    </row>
    <row r="276" spans="2:63" ht="15.5">
      <c r="B276" s="25"/>
      <c r="C276" s="24"/>
      <c r="D276" s="24"/>
      <c r="E276" s="24"/>
      <c r="F276" s="24"/>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6"/>
      <c r="BC276" s="26"/>
      <c r="BD276" s="26"/>
      <c r="BE276" s="26"/>
      <c r="BF276" s="26"/>
      <c r="BG276" s="26"/>
      <c r="BH276" s="26"/>
      <c r="BI276" s="26"/>
      <c r="BJ276" s="26"/>
      <c r="BK276" s="27"/>
    </row>
    <row r="277" spans="2:63" ht="15.5">
      <c r="B277" s="25"/>
      <c r="C277" s="24"/>
      <c r="D277" s="24"/>
      <c r="E277" s="24"/>
      <c r="F277" s="24"/>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6"/>
      <c r="BC277" s="26"/>
      <c r="BD277" s="26"/>
      <c r="BE277" s="26"/>
      <c r="BF277" s="26"/>
      <c r="BG277" s="26"/>
      <c r="BH277" s="26"/>
      <c r="BI277" s="26"/>
      <c r="BJ277" s="26"/>
      <c r="BK277" s="27"/>
    </row>
    <row r="278" spans="2:63" ht="15.5">
      <c r="B278" s="25"/>
      <c r="C278" s="24"/>
      <c r="D278" s="24"/>
      <c r="E278" s="24"/>
      <c r="F278" s="24"/>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6"/>
      <c r="BC278" s="26"/>
      <c r="BD278" s="26"/>
      <c r="BE278" s="26"/>
      <c r="BF278" s="26"/>
      <c r="BG278" s="26"/>
      <c r="BH278" s="26"/>
      <c r="BI278" s="26"/>
      <c r="BJ278" s="26"/>
      <c r="BK278" s="27"/>
    </row>
    <row r="279" spans="2:63" ht="15.5">
      <c r="B279" s="25"/>
      <c r="C279" s="24"/>
      <c r="D279" s="24"/>
      <c r="E279" s="24"/>
      <c r="F279" s="24"/>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6"/>
      <c r="BC279" s="26"/>
      <c r="BD279" s="26"/>
      <c r="BE279" s="26"/>
      <c r="BF279" s="26"/>
      <c r="BG279" s="26"/>
      <c r="BH279" s="26"/>
      <c r="BI279" s="26"/>
      <c r="BJ279" s="26"/>
      <c r="BK279" s="27"/>
    </row>
    <row r="280" spans="2:63" ht="15.5">
      <c r="B280" s="25"/>
      <c r="C280" s="24"/>
      <c r="D280" s="24"/>
      <c r="E280" s="24"/>
      <c r="F280" s="24"/>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6"/>
      <c r="BC280" s="26"/>
      <c r="BD280" s="26"/>
      <c r="BE280" s="26"/>
      <c r="BF280" s="26"/>
      <c r="BG280" s="26"/>
      <c r="BH280" s="26"/>
      <c r="BI280" s="26"/>
      <c r="BJ280" s="26"/>
      <c r="BK280" s="27"/>
    </row>
    <row r="281" spans="2:63" ht="15.5">
      <c r="B281" s="25"/>
      <c r="C281" s="24"/>
      <c r="D281" s="24"/>
      <c r="E281" s="24"/>
      <c r="F281" s="24"/>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6"/>
      <c r="BC281" s="26"/>
      <c r="BD281" s="26"/>
      <c r="BE281" s="26"/>
      <c r="BF281" s="26"/>
      <c r="BG281" s="26"/>
      <c r="BH281" s="26"/>
      <c r="BI281" s="26"/>
      <c r="BJ281" s="26"/>
      <c r="BK281" s="27"/>
    </row>
    <row r="282" spans="2:63" ht="15.5">
      <c r="B282" s="25"/>
      <c r="C282" s="24"/>
      <c r="D282" s="24"/>
      <c r="E282" s="24"/>
      <c r="F282" s="24"/>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6"/>
      <c r="BC282" s="26"/>
      <c r="BD282" s="26"/>
      <c r="BE282" s="26"/>
      <c r="BF282" s="26"/>
      <c r="BG282" s="26"/>
      <c r="BH282" s="26"/>
      <c r="BI282" s="26"/>
      <c r="BJ282" s="26"/>
      <c r="BK282" s="27"/>
    </row>
    <row r="283" spans="2:63" ht="15.5">
      <c r="B283" s="25"/>
      <c r="C283" s="24"/>
      <c r="D283" s="24"/>
      <c r="E283" s="24"/>
      <c r="F283" s="24"/>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6"/>
      <c r="BC283" s="26"/>
      <c r="BD283" s="26"/>
      <c r="BE283" s="26"/>
      <c r="BF283" s="26"/>
      <c r="BG283" s="26"/>
      <c r="BH283" s="26"/>
      <c r="BI283" s="26"/>
      <c r="BJ283" s="26"/>
      <c r="BK283" s="27"/>
    </row>
    <row r="284" spans="2:63" ht="15.5">
      <c r="B284" s="25"/>
      <c r="C284" s="24"/>
      <c r="D284" s="24"/>
      <c r="E284" s="24"/>
      <c r="F284" s="24"/>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6"/>
      <c r="BC284" s="26"/>
      <c r="BD284" s="26"/>
      <c r="BE284" s="26"/>
      <c r="BF284" s="26"/>
      <c r="BG284" s="26"/>
      <c r="BH284" s="26"/>
      <c r="BI284" s="26"/>
      <c r="BJ284" s="26"/>
      <c r="BK284" s="27"/>
    </row>
    <row r="285" spans="2:63" ht="15.5">
      <c r="B285" s="25"/>
      <c r="C285" s="24"/>
      <c r="D285" s="24"/>
      <c r="E285" s="24"/>
      <c r="F285" s="24"/>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6"/>
      <c r="BC285" s="26"/>
      <c r="BD285" s="26"/>
      <c r="BE285" s="26"/>
      <c r="BF285" s="26"/>
      <c r="BG285" s="26"/>
      <c r="BH285" s="26"/>
      <c r="BI285" s="26"/>
      <c r="BJ285" s="26"/>
      <c r="BK285" s="27"/>
    </row>
    <row r="286" spans="2:63" ht="15.5">
      <c r="B286" s="25"/>
      <c r="C286" s="24"/>
      <c r="D286" s="24"/>
      <c r="E286" s="24"/>
      <c r="F286" s="24"/>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6"/>
      <c r="BC286" s="26"/>
      <c r="BD286" s="26"/>
      <c r="BE286" s="26"/>
      <c r="BF286" s="26"/>
      <c r="BG286" s="26"/>
      <c r="BH286" s="26"/>
      <c r="BI286" s="26"/>
      <c r="BJ286" s="26"/>
      <c r="BK286" s="27"/>
    </row>
    <row r="287" spans="2:63" ht="15.5">
      <c r="B287" s="25"/>
      <c r="C287" s="24"/>
      <c r="D287" s="24"/>
      <c r="E287" s="24"/>
      <c r="F287" s="24"/>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6"/>
      <c r="BC287" s="26"/>
      <c r="BD287" s="26"/>
      <c r="BE287" s="26"/>
      <c r="BF287" s="26"/>
      <c r="BG287" s="26"/>
      <c r="BH287" s="26"/>
      <c r="BI287" s="26"/>
      <c r="BJ287" s="26"/>
      <c r="BK287" s="27"/>
    </row>
    <row r="288" spans="2:63" ht="15.5">
      <c r="B288" s="25"/>
      <c r="C288" s="24"/>
      <c r="D288" s="24"/>
      <c r="E288" s="24"/>
      <c r="F288" s="24"/>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6"/>
      <c r="BC288" s="26"/>
      <c r="BD288" s="26"/>
      <c r="BE288" s="26"/>
      <c r="BF288" s="26"/>
      <c r="BG288" s="26"/>
      <c r="BH288" s="26"/>
      <c r="BI288" s="26"/>
      <c r="BJ288" s="26"/>
      <c r="BK288" s="27"/>
    </row>
    <row r="289" spans="2:63" ht="15.5">
      <c r="B289" s="25"/>
      <c r="C289" s="24"/>
      <c r="D289" s="24"/>
      <c r="E289" s="24"/>
      <c r="F289" s="24"/>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6"/>
      <c r="BC289" s="26"/>
      <c r="BD289" s="26"/>
      <c r="BE289" s="26"/>
      <c r="BF289" s="26"/>
      <c r="BG289" s="26"/>
      <c r="BH289" s="26"/>
      <c r="BI289" s="26"/>
      <c r="BJ289" s="26"/>
      <c r="BK289" s="27"/>
    </row>
    <row r="290" spans="2:63" ht="15.5">
      <c r="B290" s="25"/>
      <c r="C290" s="24"/>
      <c r="D290" s="24"/>
      <c r="E290" s="24"/>
      <c r="F290" s="24"/>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6"/>
      <c r="BC290" s="26"/>
      <c r="BD290" s="26"/>
      <c r="BE290" s="26"/>
      <c r="BF290" s="26"/>
      <c r="BG290" s="26"/>
      <c r="BH290" s="26"/>
      <c r="BI290" s="26"/>
      <c r="BJ290" s="26"/>
      <c r="BK290" s="27"/>
    </row>
    <row r="291" spans="2:63" ht="15.5">
      <c r="B291" s="25"/>
      <c r="C291" s="24"/>
      <c r="D291" s="24"/>
      <c r="E291" s="24"/>
      <c r="F291" s="24"/>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6"/>
      <c r="BC291" s="26"/>
      <c r="BD291" s="26"/>
      <c r="BE291" s="26"/>
      <c r="BF291" s="26"/>
      <c r="BG291" s="26"/>
      <c r="BH291" s="26"/>
      <c r="BI291" s="26"/>
      <c r="BJ291" s="26"/>
      <c r="BK291" s="27"/>
    </row>
    <row r="292" spans="2:63" ht="15.5">
      <c r="B292" s="25"/>
      <c r="C292" s="24"/>
      <c r="D292" s="24"/>
      <c r="E292" s="24"/>
      <c r="F292" s="24"/>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6"/>
      <c r="BC292" s="26"/>
      <c r="BD292" s="26"/>
      <c r="BE292" s="26"/>
      <c r="BF292" s="26"/>
      <c r="BG292" s="26"/>
      <c r="BH292" s="26"/>
      <c r="BI292" s="26"/>
      <c r="BJ292" s="26"/>
      <c r="BK292" s="27"/>
    </row>
    <row r="293" spans="2:63" ht="15.5">
      <c r="B293" s="25"/>
      <c r="C293" s="24"/>
      <c r="D293" s="24"/>
      <c r="E293" s="24"/>
      <c r="F293" s="24"/>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6"/>
      <c r="BC293" s="26"/>
      <c r="BD293" s="26"/>
      <c r="BE293" s="26"/>
      <c r="BF293" s="26"/>
      <c r="BG293" s="26"/>
      <c r="BH293" s="26"/>
      <c r="BI293" s="26"/>
      <c r="BJ293" s="26"/>
      <c r="BK293" s="27"/>
    </row>
    <row r="294" spans="2:63" ht="15.5">
      <c r="B294" s="25"/>
      <c r="C294" s="24"/>
      <c r="D294" s="24"/>
      <c r="E294" s="24"/>
      <c r="F294" s="24"/>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6"/>
      <c r="BC294" s="26"/>
      <c r="BD294" s="26"/>
      <c r="BE294" s="26"/>
      <c r="BF294" s="26"/>
      <c r="BG294" s="26"/>
      <c r="BH294" s="26"/>
      <c r="BI294" s="26"/>
      <c r="BJ294" s="26"/>
      <c r="BK294" s="27"/>
    </row>
    <row r="295" spans="2:63" ht="15.5">
      <c r="B295" s="25"/>
      <c r="C295" s="24"/>
      <c r="D295" s="24"/>
      <c r="E295" s="24"/>
      <c r="F295" s="24"/>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6"/>
      <c r="BC295" s="26"/>
      <c r="BD295" s="26"/>
      <c r="BE295" s="26"/>
      <c r="BF295" s="26"/>
      <c r="BG295" s="26"/>
      <c r="BH295" s="26"/>
      <c r="BI295" s="26"/>
      <c r="BJ295" s="26"/>
      <c r="BK295" s="27"/>
    </row>
    <row r="296" spans="2:63" ht="15.5">
      <c r="B296" s="25"/>
      <c r="C296" s="24"/>
      <c r="D296" s="24"/>
      <c r="E296" s="24"/>
      <c r="F296" s="24"/>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6"/>
      <c r="BC296" s="26"/>
      <c r="BD296" s="26"/>
      <c r="BE296" s="26"/>
      <c r="BF296" s="26"/>
      <c r="BG296" s="26"/>
      <c r="BH296" s="26"/>
      <c r="BI296" s="26"/>
      <c r="BJ296" s="26"/>
      <c r="BK296" s="27"/>
    </row>
    <row r="297" spans="2:63" ht="15.5">
      <c r="B297" s="25"/>
      <c r="C297" s="24"/>
      <c r="D297" s="24"/>
      <c r="E297" s="24"/>
      <c r="F297" s="24"/>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6"/>
      <c r="BC297" s="26"/>
      <c r="BD297" s="26"/>
      <c r="BE297" s="26"/>
      <c r="BF297" s="26"/>
      <c r="BG297" s="26"/>
      <c r="BH297" s="26"/>
      <c r="BI297" s="26"/>
      <c r="BJ297" s="26"/>
      <c r="BK297" s="27"/>
    </row>
    <row r="298" spans="2:63" ht="15.5">
      <c r="B298" s="25"/>
      <c r="C298" s="24"/>
      <c r="D298" s="24"/>
      <c r="E298" s="24"/>
      <c r="F298" s="24"/>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6"/>
      <c r="BC298" s="26"/>
      <c r="BD298" s="26"/>
      <c r="BE298" s="26"/>
      <c r="BF298" s="26"/>
      <c r="BG298" s="26"/>
      <c r="BH298" s="26"/>
      <c r="BI298" s="26"/>
      <c r="BJ298" s="26"/>
      <c r="BK298" s="27"/>
    </row>
    <row r="299" spans="2:63" ht="15.5">
      <c r="B299" s="25"/>
      <c r="C299" s="24"/>
      <c r="D299" s="24"/>
      <c r="E299" s="24"/>
      <c r="F299" s="24"/>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6"/>
      <c r="BC299" s="26"/>
      <c r="BD299" s="26"/>
      <c r="BE299" s="26"/>
      <c r="BF299" s="26"/>
      <c r="BG299" s="26"/>
      <c r="BH299" s="26"/>
      <c r="BI299" s="26"/>
      <c r="BJ299" s="26"/>
      <c r="BK299" s="27"/>
    </row>
    <row r="300" spans="2:63" ht="15.5">
      <c r="B300" s="25"/>
      <c r="C300" s="24"/>
      <c r="D300" s="24"/>
      <c r="E300" s="24"/>
      <c r="F300" s="24"/>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6"/>
      <c r="BC300" s="26"/>
      <c r="BD300" s="26"/>
      <c r="BE300" s="26"/>
      <c r="BF300" s="26"/>
      <c r="BG300" s="26"/>
      <c r="BH300" s="26"/>
      <c r="BI300" s="26"/>
      <c r="BJ300" s="26"/>
      <c r="BK300" s="27"/>
    </row>
    <row r="301" spans="2:63" ht="15.5">
      <c r="B301" s="25"/>
      <c r="C301" s="24"/>
      <c r="D301" s="24"/>
      <c r="E301" s="24"/>
      <c r="F301" s="24"/>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6"/>
      <c r="BC301" s="26"/>
      <c r="BD301" s="26"/>
      <c r="BE301" s="26"/>
      <c r="BF301" s="26"/>
      <c r="BG301" s="26"/>
      <c r="BH301" s="26"/>
      <c r="BI301" s="26"/>
      <c r="BJ301" s="26"/>
      <c r="BK301" s="27"/>
    </row>
    <row r="302" spans="2:63" ht="15.5">
      <c r="B302" s="25"/>
      <c r="C302" s="24"/>
      <c r="D302" s="24"/>
      <c r="E302" s="24"/>
      <c r="F302" s="24"/>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6"/>
      <c r="BC302" s="26"/>
      <c r="BD302" s="26"/>
      <c r="BE302" s="26"/>
      <c r="BF302" s="26"/>
      <c r="BG302" s="26"/>
      <c r="BH302" s="26"/>
      <c r="BI302" s="26"/>
      <c r="BJ302" s="26"/>
      <c r="BK302" s="27"/>
    </row>
    <row r="303" spans="2:63" ht="15.5">
      <c r="B303" s="25"/>
      <c r="C303" s="24"/>
      <c r="D303" s="24"/>
      <c r="E303" s="24"/>
      <c r="F303" s="24"/>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6"/>
      <c r="BC303" s="26"/>
      <c r="BD303" s="26"/>
      <c r="BE303" s="26"/>
      <c r="BF303" s="26"/>
      <c r="BG303" s="26"/>
      <c r="BH303" s="26"/>
      <c r="BI303" s="26"/>
      <c r="BJ303" s="26"/>
      <c r="BK303" s="27"/>
    </row>
    <row r="304" spans="2:63" ht="15.5">
      <c r="B304" s="25"/>
      <c r="C304" s="24"/>
      <c r="D304" s="24"/>
      <c r="E304" s="24"/>
      <c r="F304" s="24"/>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6"/>
      <c r="BC304" s="26"/>
      <c r="BD304" s="26"/>
      <c r="BE304" s="26"/>
      <c r="BF304" s="26"/>
      <c r="BG304" s="26"/>
      <c r="BH304" s="26"/>
      <c r="BI304" s="26"/>
      <c r="BJ304" s="26"/>
      <c r="BK304" s="27"/>
    </row>
    <row r="305" spans="2:63" ht="15.5">
      <c r="B305" s="25"/>
      <c r="C305" s="24"/>
      <c r="D305" s="24"/>
      <c r="E305" s="24"/>
      <c r="F305" s="24"/>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6"/>
      <c r="BC305" s="26"/>
      <c r="BD305" s="26"/>
      <c r="BE305" s="26"/>
      <c r="BF305" s="26"/>
      <c r="BG305" s="26"/>
      <c r="BH305" s="26"/>
      <c r="BI305" s="26"/>
      <c r="BJ305" s="26"/>
      <c r="BK305" s="27"/>
    </row>
    <row r="306" spans="2:63" ht="15.5">
      <c r="B306" s="25"/>
      <c r="C306" s="24"/>
      <c r="D306" s="24"/>
      <c r="E306" s="24"/>
      <c r="F306" s="24"/>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6"/>
      <c r="BC306" s="26"/>
      <c r="BD306" s="26"/>
      <c r="BE306" s="26"/>
      <c r="BF306" s="26"/>
      <c r="BG306" s="26"/>
      <c r="BH306" s="26"/>
      <c r="BI306" s="26"/>
      <c r="BJ306" s="26"/>
      <c r="BK306" s="27"/>
    </row>
    <row r="307" spans="2:63" ht="15.5">
      <c r="B307" s="25"/>
      <c r="C307" s="24"/>
      <c r="D307" s="24"/>
      <c r="E307" s="24"/>
      <c r="F307" s="24"/>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6"/>
      <c r="BC307" s="26"/>
      <c r="BD307" s="26"/>
      <c r="BE307" s="26"/>
      <c r="BF307" s="26"/>
      <c r="BG307" s="26"/>
      <c r="BH307" s="26"/>
      <c r="BI307" s="26"/>
      <c r="BJ307" s="26"/>
      <c r="BK307" s="27"/>
    </row>
    <row r="308" spans="2:63" ht="15.5">
      <c r="B308" s="25"/>
      <c r="C308" s="24"/>
      <c r="D308" s="24"/>
      <c r="E308" s="24"/>
      <c r="F308" s="24"/>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6"/>
      <c r="BC308" s="26"/>
      <c r="BD308" s="26"/>
      <c r="BE308" s="26"/>
      <c r="BF308" s="26"/>
      <c r="BG308" s="26"/>
      <c r="BH308" s="26"/>
      <c r="BI308" s="26"/>
      <c r="BJ308" s="26"/>
      <c r="BK308" s="27"/>
    </row>
    <row r="309" spans="2:63" ht="15.5">
      <c r="B309" s="25"/>
      <c r="C309" s="24"/>
      <c r="D309" s="24"/>
      <c r="E309" s="24"/>
      <c r="F309" s="24"/>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6"/>
      <c r="BC309" s="26"/>
      <c r="BD309" s="26"/>
      <c r="BE309" s="26"/>
      <c r="BF309" s="26"/>
      <c r="BG309" s="26"/>
      <c r="BH309" s="26"/>
      <c r="BI309" s="26"/>
      <c r="BJ309" s="26"/>
      <c r="BK309" s="27"/>
    </row>
    <row r="310" spans="2:63" ht="15.5">
      <c r="B310" s="25"/>
      <c r="C310" s="24"/>
      <c r="D310" s="24"/>
      <c r="E310" s="24"/>
      <c r="F310" s="24"/>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6"/>
      <c r="BC310" s="26"/>
      <c r="BD310" s="26"/>
      <c r="BE310" s="26"/>
      <c r="BF310" s="26"/>
      <c r="BG310" s="26"/>
      <c r="BH310" s="26"/>
      <c r="BI310" s="26"/>
      <c r="BJ310" s="26"/>
      <c r="BK310" s="27"/>
    </row>
    <row r="311" spans="2:63" ht="15.5">
      <c r="B311" s="25"/>
      <c r="C311" s="24"/>
      <c r="D311" s="24"/>
      <c r="E311" s="24"/>
      <c r="F311" s="24"/>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6"/>
      <c r="BC311" s="26"/>
      <c r="BD311" s="26"/>
      <c r="BE311" s="26"/>
      <c r="BF311" s="26"/>
      <c r="BG311" s="26"/>
      <c r="BH311" s="26"/>
      <c r="BI311" s="26"/>
      <c r="BJ311" s="26"/>
      <c r="BK311" s="27"/>
    </row>
    <row r="312" spans="2:63" ht="15.5">
      <c r="B312" s="25"/>
      <c r="C312" s="24"/>
      <c r="D312" s="24"/>
      <c r="E312" s="24"/>
      <c r="F312" s="24"/>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6"/>
      <c r="BC312" s="26"/>
      <c r="BD312" s="26"/>
      <c r="BE312" s="26"/>
      <c r="BF312" s="26"/>
      <c r="BG312" s="26"/>
      <c r="BH312" s="26"/>
      <c r="BI312" s="26"/>
      <c r="BJ312" s="26"/>
      <c r="BK312" s="27"/>
    </row>
    <row r="313" spans="2:63" ht="15.5">
      <c r="B313" s="25"/>
      <c r="C313" s="24"/>
      <c r="D313" s="24"/>
      <c r="E313" s="24"/>
      <c r="F313" s="24"/>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6"/>
      <c r="BC313" s="26"/>
      <c r="BD313" s="26"/>
      <c r="BE313" s="26"/>
      <c r="BF313" s="26"/>
      <c r="BG313" s="26"/>
      <c r="BH313" s="26"/>
      <c r="BI313" s="26"/>
      <c r="BJ313" s="26"/>
      <c r="BK313" s="27"/>
    </row>
    <row r="314" spans="2:63" ht="15.5">
      <c r="B314" s="25"/>
      <c r="C314" s="24"/>
      <c r="D314" s="24"/>
      <c r="E314" s="24"/>
      <c r="F314" s="24"/>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6"/>
      <c r="BC314" s="26"/>
      <c r="BD314" s="26"/>
      <c r="BE314" s="26"/>
      <c r="BF314" s="26"/>
      <c r="BG314" s="26"/>
      <c r="BH314" s="26"/>
      <c r="BI314" s="26"/>
      <c r="BJ314" s="26"/>
      <c r="BK314" s="27"/>
    </row>
    <row r="315" spans="2:63" ht="15.5">
      <c r="B315" s="25"/>
      <c r="C315" s="24"/>
      <c r="D315" s="24"/>
      <c r="E315" s="24"/>
      <c r="F315" s="24"/>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6"/>
      <c r="BC315" s="26"/>
      <c r="BD315" s="26"/>
      <c r="BE315" s="26"/>
      <c r="BF315" s="26"/>
      <c r="BG315" s="26"/>
      <c r="BH315" s="26"/>
      <c r="BI315" s="26"/>
      <c r="BJ315" s="26"/>
      <c r="BK315" s="27"/>
    </row>
    <row r="316" spans="2:63" ht="15.5">
      <c r="B316" s="25"/>
      <c r="C316" s="24"/>
      <c r="D316" s="24"/>
      <c r="E316" s="24"/>
      <c r="F316" s="24"/>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6"/>
      <c r="BC316" s="26"/>
      <c r="BD316" s="26"/>
      <c r="BE316" s="26"/>
      <c r="BF316" s="26"/>
      <c r="BG316" s="26"/>
      <c r="BH316" s="26"/>
      <c r="BI316" s="26"/>
      <c r="BJ316" s="26"/>
      <c r="BK316" s="27"/>
    </row>
    <row r="317" spans="2:63" ht="15.5">
      <c r="B317" s="25"/>
      <c r="C317" s="24"/>
      <c r="D317" s="24"/>
      <c r="E317" s="24"/>
      <c r="F317" s="24"/>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6"/>
      <c r="BC317" s="26"/>
      <c r="BD317" s="26"/>
      <c r="BE317" s="26"/>
      <c r="BF317" s="26"/>
      <c r="BG317" s="26"/>
      <c r="BH317" s="26"/>
      <c r="BI317" s="26"/>
      <c r="BJ317" s="26"/>
      <c r="BK317" s="27"/>
    </row>
    <row r="318" spans="2:63" ht="15.5">
      <c r="B318" s="25"/>
      <c r="C318" s="24"/>
      <c r="D318" s="24"/>
      <c r="E318" s="24"/>
      <c r="F318" s="24"/>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6"/>
      <c r="BC318" s="26"/>
      <c r="BD318" s="26"/>
      <c r="BE318" s="26"/>
      <c r="BF318" s="26"/>
      <c r="BG318" s="26"/>
      <c r="BH318" s="26"/>
      <c r="BI318" s="26"/>
      <c r="BJ318" s="26"/>
      <c r="BK318" s="27"/>
    </row>
    <row r="319" spans="2:63" ht="15.5">
      <c r="B319" s="25"/>
      <c r="C319" s="24"/>
      <c r="D319" s="24"/>
      <c r="E319" s="24"/>
      <c r="F319" s="24"/>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6"/>
      <c r="BC319" s="26"/>
      <c r="BD319" s="26"/>
      <c r="BE319" s="26"/>
      <c r="BF319" s="26"/>
      <c r="BG319" s="26"/>
      <c r="BH319" s="26"/>
      <c r="BI319" s="26"/>
      <c r="BJ319" s="26"/>
      <c r="BK319" s="27"/>
    </row>
    <row r="320" spans="2:63" ht="15.5">
      <c r="B320" s="25"/>
      <c r="C320" s="24"/>
      <c r="D320" s="24"/>
      <c r="E320" s="24"/>
      <c r="F320" s="24"/>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6"/>
      <c r="BC320" s="26"/>
      <c r="BD320" s="26"/>
      <c r="BE320" s="26"/>
      <c r="BF320" s="26"/>
      <c r="BG320" s="26"/>
      <c r="BH320" s="26"/>
      <c r="BI320" s="26"/>
      <c r="BJ320" s="26"/>
      <c r="BK320" s="27"/>
    </row>
    <row r="321" spans="2:63" ht="15.5">
      <c r="B321" s="25"/>
      <c r="C321" s="24"/>
      <c r="D321" s="24"/>
      <c r="E321" s="24"/>
      <c r="F321" s="24"/>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6"/>
      <c r="BC321" s="26"/>
      <c r="BD321" s="26"/>
      <c r="BE321" s="26"/>
      <c r="BF321" s="26"/>
      <c r="BG321" s="26"/>
      <c r="BH321" s="26"/>
      <c r="BI321" s="26"/>
      <c r="BJ321" s="26"/>
      <c r="BK321" s="27"/>
    </row>
    <row r="322" spans="2:63" ht="15.5">
      <c r="B322" s="25"/>
      <c r="C322" s="24"/>
      <c r="D322" s="24"/>
      <c r="E322" s="24"/>
      <c r="F322" s="24"/>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6"/>
      <c r="BC322" s="26"/>
      <c r="BD322" s="26"/>
      <c r="BE322" s="26"/>
      <c r="BF322" s="26"/>
      <c r="BG322" s="26"/>
      <c r="BH322" s="26"/>
      <c r="BI322" s="26"/>
      <c r="BJ322" s="26"/>
      <c r="BK322" s="27"/>
    </row>
    <row r="323" spans="2:63" ht="15.5">
      <c r="B323" s="25"/>
      <c r="C323" s="24"/>
      <c r="D323" s="24"/>
      <c r="E323" s="24"/>
      <c r="F323" s="24"/>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6"/>
      <c r="BC323" s="26"/>
      <c r="BD323" s="26"/>
      <c r="BE323" s="26"/>
      <c r="BF323" s="26"/>
      <c r="BG323" s="26"/>
      <c r="BH323" s="26"/>
      <c r="BI323" s="26"/>
      <c r="BJ323" s="26"/>
      <c r="BK323" s="27"/>
    </row>
    <row r="324" spans="2:63" ht="15.5">
      <c r="B324" s="25"/>
      <c r="C324" s="24"/>
      <c r="D324" s="24"/>
      <c r="E324" s="24"/>
      <c r="F324" s="24"/>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6"/>
      <c r="BC324" s="26"/>
      <c r="BD324" s="26"/>
      <c r="BE324" s="26"/>
      <c r="BF324" s="26"/>
      <c r="BG324" s="26"/>
      <c r="BH324" s="26"/>
      <c r="BI324" s="26"/>
      <c r="BJ324" s="26"/>
      <c r="BK324" s="27"/>
    </row>
    <row r="325" spans="2:63" ht="15.5">
      <c r="B325" s="25"/>
      <c r="C325" s="24"/>
      <c r="D325" s="24"/>
      <c r="E325" s="24"/>
      <c r="F325" s="24"/>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6"/>
      <c r="BC325" s="26"/>
      <c r="BD325" s="26"/>
      <c r="BE325" s="26"/>
      <c r="BF325" s="26"/>
      <c r="BG325" s="26"/>
      <c r="BH325" s="26"/>
      <c r="BI325" s="26"/>
      <c r="BJ325" s="26"/>
      <c r="BK325" s="27"/>
    </row>
    <row r="326" spans="2:63" ht="15.5">
      <c r="B326" s="25"/>
      <c r="C326" s="24"/>
      <c r="D326" s="24"/>
      <c r="E326" s="24"/>
      <c r="F326" s="24"/>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6"/>
      <c r="BC326" s="26"/>
      <c r="BD326" s="26"/>
      <c r="BE326" s="26"/>
      <c r="BF326" s="26"/>
      <c r="BG326" s="26"/>
      <c r="BH326" s="26"/>
      <c r="BI326" s="26"/>
      <c r="BJ326" s="26"/>
      <c r="BK326" s="27"/>
    </row>
    <row r="327" spans="2:63" ht="15.5">
      <c r="B327" s="25"/>
      <c r="C327" s="24"/>
      <c r="D327" s="24"/>
      <c r="E327" s="24"/>
      <c r="F327" s="24"/>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6"/>
      <c r="BC327" s="26"/>
      <c r="BD327" s="26"/>
      <c r="BE327" s="26"/>
      <c r="BF327" s="26"/>
      <c r="BG327" s="26"/>
      <c r="BH327" s="26"/>
      <c r="BI327" s="26"/>
      <c r="BJ327" s="26"/>
      <c r="BK327" s="27"/>
    </row>
    <row r="328" spans="2:63" ht="15.5">
      <c r="B328" s="25"/>
      <c r="C328" s="24"/>
      <c r="D328" s="24"/>
      <c r="E328" s="24"/>
      <c r="F328" s="24"/>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6"/>
      <c r="BC328" s="26"/>
      <c r="BD328" s="26"/>
      <c r="BE328" s="26"/>
      <c r="BF328" s="26"/>
      <c r="BG328" s="26"/>
      <c r="BH328" s="26"/>
      <c r="BI328" s="26"/>
      <c r="BJ328" s="26"/>
      <c r="BK328" s="27"/>
    </row>
    <row r="329" spans="2:63" ht="15.5">
      <c r="B329" s="25"/>
      <c r="C329" s="24"/>
      <c r="D329" s="24"/>
      <c r="E329" s="24"/>
      <c r="F329" s="24"/>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6"/>
      <c r="BC329" s="26"/>
      <c r="BD329" s="26"/>
      <c r="BE329" s="26"/>
      <c r="BF329" s="26"/>
      <c r="BG329" s="26"/>
      <c r="BH329" s="26"/>
      <c r="BI329" s="26"/>
      <c r="BJ329" s="26"/>
      <c r="BK329" s="27"/>
    </row>
    <row r="330" spans="2:63" ht="15.5">
      <c r="B330" s="25"/>
      <c r="C330" s="24"/>
      <c r="D330" s="24"/>
      <c r="E330" s="24"/>
      <c r="F330" s="24"/>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6"/>
      <c r="BC330" s="26"/>
      <c r="BD330" s="26"/>
      <c r="BE330" s="26"/>
      <c r="BF330" s="26"/>
      <c r="BG330" s="26"/>
      <c r="BH330" s="26"/>
      <c r="BI330" s="26"/>
      <c r="BJ330" s="26"/>
      <c r="BK330" s="27"/>
    </row>
    <row r="331" spans="2:63" ht="15.5">
      <c r="B331" s="25"/>
      <c r="C331" s="24"/>
      <c r="D331" s="24"/>
      <c r="E331" s="24"/>
      <c r="F331" s="24"/>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6"/>
      <c r="BC331" s="26"/>
      <c r="BD331" s="26"/>
      <c r="BE331" s="26"/>
      <c r="BF331" s="26"/>
      <c r="BG331" s="26"/>
      <c r="BH331" s="26"/>
      <c r="BI331" s="26"/>
      <c r="BJ331" s="26"/>
      <c r="BK331" s="27"/>
    </row>
    <row r="332" spans="2:63" ht="15.5">
      <c r="B332" s="25"/>
      <c r="C332" s="24"/>
      <c r="D332" s="24"/>
      <c r="E332" s="24"/>
      <c r="F332" s="24"/>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6"/>
      <c r="BC332" s="26"/>
      <c r="BD332" s="26"/>
      <c r="BE332" s="26"/>
      <c r="BF332" s="26"/>
      <c r="BG332" s="26"/>
      <c r="BH332" s="26"/>
      <c r="BI332" s="26"/>
      <c r="BJ332" s="26"/>
      <c r="BK332" s="27"/>
    </row>
    <row r="333" spans="2:63" ht="15.5">
      <c r="B333" s="25"/>
      <c r="C333" s="24"/>
      <c r="D333" s="24"/>
      <c r="E333" s="24"/>
      <c r="F333" s="24"/>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6"/>
      <c r="BC333" s="26"/>
      <c r="BD333" s="26"/>
      <c r="BE333" s="26"/>
      <c r="BF333" s="26"/>
      <c r="BG333" s="26"/>
      <c r="BH333" s="26"/>
      <c r="BI333" s="26"/>
      <c r="BJ333" s="26"/>
      <c r="BK333" s="27"/>
    </row>
    <row r="334" spans="2:63" ht="15.5">
      <c r="B334" s="25"/>
      <c r="C334" s="24"/>
      <c r="D334" s="24"/>
      <c r="E334" s="24"/>
      <c r="F334" s="24"/>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6"/>
      <c r="BC334" s="26"/>
      <c r="BD334" s="26"/>
      <c r="BE334" s="26"/>
      <c r="BF334" s="26"/>
      <c r="BG334" s="26"/>
      <c r="BH334" s="26"/>
      <c r="BI334" s="26"/>
      <c r="BJ334" s="26"/>
      <c r="BK334" s="27"/>
    </row>
    <row r="335" spans="2:63" ht="15.5">
      <c r="B335" s="25"/>
      <c r="C335" s="24"/>
      <c r="D335" s="24"/>
      <c r="E335" s="24"/>
      <c r="F335" s="24"/>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6"/>
      <c r="BC335" s="26"/>
      <c r="BD335" s="26"/>
      <c r="BE335" s="26"/>
      <c r="BF335" s="26"/>
      <c r="BG335" s="26"/>
      <c r="BH335" s="26"/>
      <c r="BI335" s="26"/>
      <c r="BJ335" s="26"/>
      <c r="BK335" s="27"/>
    </row>
    <row r="336" spans="2:63" ht="15.5">
      <c r="B336" s="25"/>
      <c r="C336" s="24"/>
      <c r="D336" s="24"/>
      <c r="E336" s="24"/>
      <c r="F336" s="24"/>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6"/>
      <c r="BC336" s="26"/>
      <c r="BD336" s="26"/>
      <c r="BE336" s="26"/>
      <c r="BF336" s="26"/>
      <c r="BG336" s="26"/>
      <c r="BH336" s="26"/>
      <c r="BI336" s="26"/>
      <c r="BJ336" s="26"/>
      <c r="BK336" s="27"/>
    </row>
    <row r="337" spans="2:63" ht="15.5">
      <c r="B337" s="25"/>
      <c r="C337" s="24"/>
      <c r="D337" s="24"/>
      <c r="E337" s="24"/>
      <c r="F337" s="24"/>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6"/>
      <c r="BC337" s="26"/>
      <c r="BD337" s="26"/>
      <c r="BE337" s="26"/>
      <c r="BF337" s="26"/>
      <c r="BG337" s="26"/>
      <c r="BH337" s="26"/>
      <c r="BI337" s="26"/>
      <c r="BJ337" s="26"/>
      <c r="BK337" s="27"/>
    </row>
    <row r="338" spans="2:63" ht="15.5">
      <c r="B338" s="25"/>
      <c r="C338" s="24"/>
      <c r="D338" s="24"/>
      <c r="E338" s="24"/>
      <c r="F338" s="24"/>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6"/>
      <c r="BC338" s="26"/>
      <c r="BD338" s="26"/>
      <c r="BE338" s="26"/>
      <c r="BF338" s="26"/>
      <c r="BG338" s="26"/>
      <c r="BH338" s="26"/>
      <c r="BI338" s="26"/>
      <c r="BJ338" s="26"/>
      <c r="BK338" s="27"/>
    </row>
    <row r="339" spans="2:63" ht="15.5">
      <c r="B339" s="25"/>
      <c r="C339" s="24"/>
      <c r="D339" s="24"/>
      <c r="E339" s="24"/>
      <c r="F339" s="24"/>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6"/>
      <c r="BC339" s="26"/>
      <c r="BD339" s="26"/>
      <c r="BE339" s="26"/>
      <c r="BF339" s="26"/>
      <c r="BG339" s="26"/>
      <c r="BH339" s="26"/>
      <c r="BI339" s="26"/>
      <c r="BJ339" s="26"/>
      <c r="BK339" s="27"/>
    </row>
    <row r="340" spans="2:63" ht="15.5">
      <c r="B340" s="25"/>
      <c r="C340" s="24"/>
      <c r="D340" s="24"/>
      <c r="E340" s="24"/>
      <c r="F340" s="24"/>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6"/>
      <c r="BC340" s="26"/>
      <c r="BD340" s="26"/>
      <c r="BE340" s="26"/>
      <c r="BF340" s="26"/>
      <c r="BG340" s="26"/>
      <c r="BH340" s="26"/>
      <c r="BI340" s="26"/>
      <c r="BJ340" s="26"/>
      <c r="BK340" s="27"/>
    </row>
    <row r="341" spans="2:63" ht="15.5">
      <c r="B341" s="25"/>
      <c r="C341" s="24"/>
      <c r="D341" s="24"/>
      <c r="E341" s="24"/>
      <c r="F341" s="24"/>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6"/>
      <c r="BC341" s="26"/>
      <c r="BD341" s="26"/>
      <c r="BE341" s="26"/>
      <c r="BF341" s="26"/>
      <c r="BG341" s="26"/>
      <c r="BH341" s="26"/>
      <c r="BI341" s="26"/>
      <c r="BJ341" s="26"/>
      <c r="BK341" s="27"/>
    </row>
    <row r="342" spans="2:63" ht="15.5">
      <c r="B342" s="25"/>
      <c r="C342" s="24"/>
      <c r="D342" s="24"/>
      <c r="E342" s="24"/>
      <c r="F342" s="24"/>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6"/>
      <c r="BC342" s="26"/>
      <c r="BD342" s="26"/>
      <c r="BE342" s="26"/>
      <c r="BF342" s="26"/>
      <c r="BG342" s="26"/>
      <c r="BH342" s="26"/>
      <c r="BI342" s="26"/>
      <c r="BJ342" s="26"/>
      <c r="BK342" s="27"/>
    </row>
    <row r="343" spans="2:63" ht="15.5">
      <c r="B343" s="25"/>
      <c r="C343" s="24"/>
      <c r="D343" s="24"/>
      <c r="E343" s="24"/>
      <c r="F343" s="24"/>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6"/>
      <c r="BC343" s="26"/>
      <c r="BD343" s="26"/>
      <c r="BE343" s="26"/>
      <c r="BF343" s="26"/>
      <c r="BG343" s="26"/>
      <c r="BH343" s="26"/>
      <c r="BI343" s="26"/>
      <c r="BJ343" s="26"/>
      <c r="BK343" s="27"/>
    </row>
    <row r="344" spans="2:63" ht="15.5">
      <c r="B344" s="25"/>
      <c r="C344" s="24"/>
      <c r="D344" s="24"/>
      <c r="E344" s="24"/>
      <c r="F344" s="24"/>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6"/>
      <c r="BC344" s="26"/>
      <c r="BD344" s="26"/>
      <c r="BE344" s="26"/>
      <c r="BF344" s="26"/>
      <c r="BG344" s="26"/>
      <c r="BH344" s="26"/>
      <c r="BI344" s="26"/>
      <c r="BJ344" s="26"/>
      <c r="BK344" s="27"/>
    </row>
    <row r="345" spans="2:63" ht="15.5">
      <c r="B345" s="25"/>
      <c r="C345" s="24"/>
      <c r="D345" s="24"/>
      <c r="E345" s="24"/>
      <c r="F345" s="24"/>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6"/>
      <c r="BC345" s="26"/>
      <c r="BD345" s="26"/>
      <c r="BE345" s="26"/>
      <c r="BF345" s="26"/>
      <c r="BG345" s="26"/>
      <c r="BH345" s="26"/>
      <c r="BI345" s="26"/>
      <c r="BJ345" s="26"/>
      <c r="BK345" s="27"/>
    </row>
    <row r="346" spans="2:63" ht="15.5">
      <c r="B346" s="25"/>
      <c r="C346" s="24"/>
      <c r="D346" s="24"/>
      <c r="E346" s="24"/>
      <c r="F346" s="24"/>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6"/>
      <c r="BC346" s="26"/>
      <c r="BD346" s="26"/>
      <c r="BE346" s="26"/>
      <c r="BF346" s="26"/>
      <c r="BG346" s="26"/>
      <c r="BH346" s="26"/>
      <c r="BI346" s="26"/>
      <c r="BJ346" s="26"/>
      <c r="BK346" s="27"/>
    </row>
    <row r="347" spans="2:63" ht="15.5">
      <c r="B347" s="25"/>
      <c r="C347" s="24"/>
      <c r="D347" s="24"/>
      <c r="E347" s="24"/>
      <c r="F347" s="24"/>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6"/>
      <c r="BC347" s="26"/>
      <c r="BD347" s="26"/>
      <c r="BE347" s="26"/>
      <c r="BF347" s="26"/>
      <c r="BG347" s="26"/>
      <c r="BH347" s="26"/>
      <c r="BI347" s="26"/>
      <c r="BJ347" s="26"/>
      <c r="BK347" s="27"/>
    </row>
    <row r="348" spans="2:63" ht="15.5">
      <c r="B348" s="25"/>
      <c r="C348" s="24"/>
      <c r="D348" s="24"/>
      <c r="E348" s="24"/>
      <c r="F348" s="24"/>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6"/>
      <c r="BC348" s="26"/>
      <c r="BD348" s="26"/>
      <c r="BE348" s="26"/>
      <c r="BF348" s="26"/>
      <c r="BG348" s="26"/>
      <c r="BH348" s="26"/>
      <c r="BI348" s="26"/>
      <c r="BJ348" s="26"/>
      <c r="BK348" s="27"/>
    </row>
    <row r="349" spans="2:63" ht="15.5">
      <c r="B349" s="25"/>
      <c r="C349" s="24"/>
      <c r="D349" s="24"/>
      <c r="E349" s="24"/>
      <c r="F349" s="24"/>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6"/>
      <c r="BC349" s="26"/>
      <c r="BD349" s="26"/>
      <c r="BE349" s="26"/>
      <c r="BF349" s="26"/>
      <c r="BG349" s="26"/>
      <c r="BH349" s="26"/>
      <c r="BI349" s="26"/>
      <c r="BJ349" s="26"/>
      <c r="BK349" s="27"/>
    </row>
    <row r="350" spans="2:63" ht="15.5">
      <c r="B350" s="25"/>
      <c r="C350" s="24"/>
      <c r="D350" s="24"/>
      <c r="E350" s="24"/>
      <c r="F350" s="24"/>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6"/>
      <c r="BC350" s="26"/>
      <c r="BD350" s="26"/>
      <c r="BE350" s="26"/>
      <c r="BF350" s="26"/>
      <c r="BG350" s="26"/>
      <c r="BH350" s="26"/>
      <c r="BI350" s="26"/>
      <c r="BJ350" s="26"/>
      <c r="BK350" s="27"/>
    </row>
    <row r="351" spans="2:63" ht="15.5">
      <c r="B351" s="25"/>
      <c r="C351" s="24"/>
      <c r="D351" s="24"/>
      <c r="E351" s="24"/>
      <c r="F351" s="24"/>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6"/>
      <c r="BC351" s="26"/>
      <c r="BD351" s="26"/>
      <c r="BE351" s="26"/>
      <c r="BF351" s="26"/>
      <c r="BG351" s="26"/>
      <c r="BH351" s="26"/>
      <c r="BI351" s="26"/>
      <c r="BJ351" s="26"/>
      <c r="BK351" s="27"/>
    </row>
    <row r="352" spans="2:63" ht="15.5">
      <c r="B352" s="25"/>
      <c r="C352" s="24"/>
      <c r="D352" s="24"/>
      <c r="E352" s="24"/>
      <c r="F352" s="24"/>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6"/>
      <c r="BC352" s="26"/>
      <c r="BD352" s="26"/>
      <c r="BE352" s="26"/>
      <c r="BF352" s="26"/>
      <c r="BG352" s="26"/>
      <c r="BH352" s="26"/>
      <c r="BI352" s="26"/>
      <c r="BJ352" s="26"/>
      <c r="BK352" s="27"/>
    </row>
    <row r="353" spans="2:63" ht="15.5">
      <c r="B353" s="25"/>
      <c r="C353" s="24"/>
      <c r="D353" s="24"/>
      <c r="E353" s="24"/>
      <c r="F353" s="24"/>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6"/>
      <c r="BC353" s="26"/>
      <c r="BD353" s="26"/>
      <c r="BE353" s="26"/>
      <c r="BF353" s="26"/>
      <c r="BG353" s="26"/>
      <c r="BH353" s="26"/>
      <c r="BI353" s="26"/>
      <c r="BJ353" s="26"/>
      <c r="BK353" s="27"/>
    </row>
    <row r="354" spans="2:63" ht="15.5">
      <c r="B354" s="25"/>
      <c r="C354" s="24"/>
      <c r="D354" s="24"/>
      <c r="E354" s="24"/>
      <c r="F354" s="24"/>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6"/>
      <c r="BC354" s="26"/>
      <c r="BD354" s="26"/>
      <c r="BE354" s="26"/>
      <c r="BF354" s="26"/>
      <c r="BG354" s="26"/>
      <c r="BH354" s="26"/>
      <c r="BI354" s="26"/>
      <c r="BJ354" s="26"/>
      <c r="BK354" s="27"/>
    </row>
    <row r="355" spans="2:63" ht="15.5">
      <c r="B355" s="25"/>
      <c r="C355" s="24"/>
      <c r="D355" s="24"/>
      <c r="E355" s="24"/>
      <c r="F355" s="24"/>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6"/>
      <c r="BC355" s="26"/>
      <c r="BD355" s="26"/>
      <c r="BE355" s="26"/>
      <c r="BF355" s="26"/>
      <c r="BG355" s="26"/>
      <c r="BH355" s="26"/>
      <c r="BI355" s="26"/>
      <c r="BJ355" s="26"/>
      <c r="BK355" s="27"/>
    </row>
    <row r="356" spans="2:63" ht="15.5">
      <c r="B356" s="25"/>
      <c r="C356" s="24"/>
      <c r="D356" s="24"/>
      <c r="E356" s="24"/>
      <c r="F356" s="24"/>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6"/>
      <c r="BC356" s="26"/>
      <c r="BD356" s="26"/>
      <c r="BE356" s="26"/>
      <c r="BF356" s="26"/>
      <c r="BG356" s="26"/>
      <c r="BH356" s="26"/>
      <c r="BI356" s="26"/>
      <c r="BJ356" s="26"/>
      <c r="BK356" s="27"/>
    </row>
    <row r="357" spans="2:63" ht="15.5">
      <c r="B357" s="25"/>
      <c r="C357" s="24"/>
      <c r="D357" s="24"/>
      <c r="E357" s="24"/>
      <c r="F357" s="24"/>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6"/>
      <c r="BC357" s="26"/>
      <c r="BD357" s="26"/>
      <c r="BE357" s="26"/>
      <c r="BF357" s="26"/>
      <c r="BG357" s="26"/>
      <c r="BH357" s="26"/>
      <c r="BI357" s="26"/>
      <c r="BJ357" s="26"/>
      <c r="BK357" s="27"/>
    </row>
    <row r="358" spans="2:63" ht="15.5">
      <c r="B358" s="25"/>
      <c r="C358" s="24"/>
      <c r="D358" s="24"/>
      <c r="E358" s="24"/>
      <c r="F358" s="24"/>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6"/>
      <c r="BC358" s="26"/>
      <c r="BD358" s="26"/>
      <c r="BE358" s="26"/>
      <c r="BF358" s="26"/>
      <c r="BG358" s="26"/>
      <c r="BH358" s="26"/>
      <c r="BI358" s="26"/>
      <c r="BJ358" s="26"/>
      <c r="BK358" s="27"/>
    </row>
    <row r="359" spans="2:63" ht="15.5">
      <c r="B359" s="25"/>
      <c r="C359" s="24"/>
      <c r="D359" s="24"/>
      <c r="E359" s="24"/>
      <c r="F359" s="24"/>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6"/>
      <c r="BC359" s="26"/>
      <c r="BD359" s="26"/>
      <c r="BE359" s="26"/>
      <c r="BF359" s="26"/>
      <c r="BG359" s="26"/>
      <c r="BH359" s="26"/>
      <c r="BI359" s="26"/>
      <c r="BJ359" s="26"/>
      <c r="BK359" s="27"/>
    </row>
    <row r="360" spans="2:63" ht="15.5">
      <c r="B360" s="25"/>
      <c r="C360" s="24"/>
      <c r="D360" s="24"/>
      <c r="E360" s="24"/>
      <c r="F360" s="24"/>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6"/>
      <c r="BC360" s="26"/>
      <c r="BD360" s="26"/>
      <c r="BE360" s="26"/>
      <c r="BF360" s="26"/>
      <c r="BG360" s="26"/>
      <c r="BH360" s="26"/>
      <c r="BI360" s="26"/>
      <c r="BJ360" s="26"/>
      <c r="BK360" s="27"/>
    </row>
    <row r="361" spans="2:63" ht="15.5">
      <c r="B361" s="25"/>
      <c r="C361" s="24"/>
      <c r="D361" s="24"/>
      <c r="E361" s="24"/>
      <c r="F361" s="24"/>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6"/>
      <c r="BC361" s="26"/>
      <c r="BD361" s="26"/>
      <c r="BE361" s="26"/>
      <c r="BF361" s="26"/>
      <c r="BG361" s="26"/>
      <c r="BH361" s="26"/>
      <c r="BI361" s="26"/>
      <c r="BJ361" s="26"/>
      <c r="BK361" s="27"/>
    </row>
    <row r="362" spans="2:63" ht="15.5">
      <c r="B362" s="25"/>
      <c r="C362" s="24"/>
      <c r="D362" s="24"/>
      <c r="E362" s="24"/>
      <c r="F362" s="24"/>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6"/>
      <c r="BC362" s="26"/>
      <c r="BD362" s="26"/>
      <c r="BE362" s="26"/>
      <c r="BF362" s="26"/>
      <c r="BG362" s="26"/>
      <c r="BH362" s="26"/>
      <c r="BI362" s="26"/>
      <c r="BJ362" s="26"/>
      <c r="BK362" s="27"/>
    </row>
    <row r="363" spans="2:63" ht="15.5">
      <c r="B363" s="25"/>
      <c r="C363" s="24"/>
      <c r="D363" s="24"/>
      <c r="E363" s="24"/>
      <c r="F363" s="24"/>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6"/>
      <c r="BC363" s="26"/>
      <c r="BD363" s="26"/>
      <c r="BE363" s="26"/>
      <c r="BF363" s="26"/>
      <c r="BG363" s="26"/>
      <c r="BH363" s="26"/>
      <c r="BI363" s="26"/>
      <c r="BJ363" s="26"/>
      <c r="BK363" s="27"/>
    </row>
    <row r="364" spans="2:63" ht="15.5">
      <c r="B364" s="25"/>
      <c r="C364" s="24"/>
      <c r="D364" s="24"/>
      <c r="E364" s="24"/>
      <c r="F364" s="24"/>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6"/>
      <c r="BC364" s="26"/>
      <c r="BD364" s="26"/>
      <c r="BE364" s="26"/>
      <c r="BF364" s="26"/>
      <c r="BG364" s="26"/>
      <c r="BH364" s="26"/>
      <c r="BI364" s="26"/>
      <c r="BJ364" s="26"/>
      <c r="BK364" s="27"/>
    </row>
    <row r="365" spans="2:63" ht="15.5">
      <c r="B365" s="25"/>
      <c r="C365" s="24"/>
      <c r="D365" s="24"/>
      <c r="E365" s="24"/>
      <c r="F365" s="24"/>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6"/>
      <c r="BC365" s="26"/>
      <c r="BD365" s="26"/>
      <c r="BE365" s="26"/>
      <c r="BF365" s="26"/>
      <c r="BG365" s="26"/>
      <c r="BH365" s="26"/>
      <c r="BI365" s="26"/>
      <c r="BJ365" s="26"/>
      <c r="BK365" s="27"/>
    </row>
    <row r="366" spans="2:63" ht="15.5">
      <c r="B366" s="25"/>
      <c r="C366" s="24"/>
      <c r="D366" s="24"/>
      <c r="E366" s="24"/>
      <c r="F366" s="24"/>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6"/>
      <c r="BC366" s="26"/>
      <c r="BD366" s="26"/>
      <c r="BE366" s="26"/>
      <c r="BF366" s="26"/>
      <c r="BG366" s="26"/>
      <c r="BH366" s="26"/>
      <c r="BI366" s="26"/>
      <c r="BJ366" s="26"/>
      <c r="BK366" s="27"/>
    </row>
    <row r="367" spans="2:63" ht="15.5">
      <c r="B367" s="25"/>
      <c r="C367" s="24"/>
      <c r="D367" s="24"/>
      <c r="E367" s="24"/>
      <c r="F367" s="24"/>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6"/>
      <c r="BC367" s="26"/>
      <c r="BD367" s="26"/>
      <c r="BE367" s="26"/>
      <c r="BF367" s="26"/>
      <c r="BG367" s="26"/>
      <c r="BH367" s="26"/>
      <c r="BI367" s="26"/>
      <c r="BJ367" s="26"/>
      <c r="BK367" s="27"/>
    </row>
    <row r="368" spans="2:63" ht="15.5">
      <c r="B368" s="25"/>
      <c r="C368" s="24"/>
      <c r="D368" s="24"/>
      <c r="E368" s="24"/>
      <c r="F368" s="24"/>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6"/>
      <c r="BC368" s="26"/>
      <c r="BD368" s="26"/>
      <c r="BE368" s="26"/>
      <c r="BF368" s="26"/>
      <c r="BG368" s="26"/>
      <c r="BH368" s="26"/>
      <c r="BI368" s="26"/>
      <c r="BJ368" s="26"/>
      <c r="BK368" s="27"/>
    </row>
    <row r="369" spans="2:63" ht="15.5">
      <c r="B369" s="25"/>
      <c r="C369" s="24"/>
      <c r="D369" s="24"/>
      <c r="E369" s="24"/>
      <c r="F369" s="24"/>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6"/>
      <c r="BC369" s="26"/>
      <c r="BD369" s="26"/>
      <c r="BE369" s="26"/>
      <c r="BF369" s="26"/>
      <c r="BG369" s="26"/>
      <c r="BH369" s="26"/>
      <c r="BI369" s="26"/>
      <c r="BJ369" s="26"/>
      <c r="BK369" s="27"/>
    </row>
    <row r="370" spans="2:63" ht="15.5">
      <c r="B370" s="25"/>
      <c r="C370" s="24"/>
      <c r="D370" s="24"/>
      <c r="E370" s="24"/>
      <c r="F370" s="24"/>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6"/>
      <c r="BC370" s="26"/>
      <c r="BD370" s="26"/>
      <c r="BE370" s="26"/>
      <c r="BF370" s="26"/>
      <c r="BG370" s="26"/>
      <c r="BH370" s="26"/>
      <c r="BI370" s="26"/>
      <c r="BJ370" s="26"/>
      <c r="BK370" s="27"/>
    </row>
    <row r="371" spans="2:63" ht="15.5">
      <c r="B371" s="25"/>
      <c r="C371" s="24"/>
      <c r="D371" s="24"/>
      <c r="E371" s="24"/>
      <c r="F371" s="24"/>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6"/>
      <c r="BC371" s="26"/>
      <c r="BD371" s="26"/>
      <c r="BE371" s="26"/>
      <c r="BF371" s="26"/>
      <c r="BG371" s="26"/>
      <c r="BH371" s="26"/>
      <c r="BI371" s="26"/>
      <c r="BJ371" s="26"/>
      <c r="BK371" s="27"/>
    </row>
    <row r="372" spans="2:63" ht="15.5">
      <c r="B372" s="25"/>
      <c r="C372" s="24"/>
      <c r="D372" s="24"/>
      <c r="E372" s="24"/>
      <c r="F372" s="24"/>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6"/>
      <c r="BC372" s="26"/>
      <c r="BD372" s="26"/>
      <c r="BE372" s="26"/>
      <c r="BF372" s="26"/>
      <c r="BG372" s="26"/>
      <c r="BH372" s="26"/>
      <c r="BI372" s="26"/>
      <c r="BJ372" s="26"/>
      <c r="BK372" s="27"/>
    </row>
    <row r="373" spans="2:63" ht="15.5">
      <c r="B373" s="25"/>
      <c r="C373" s="24"/>
      <c r="D373" s="24"/>
      <c r="E373" s="24"/>
      <c r="F373" s="24"/>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6"/>
      <c r="BC373" s="26"/>
      <c r="BD373" s="26"/>
      <c r="BE373" s="26"/>
      <c r="BF373" s="26"/>
      <c r="BG373" s="26"/>
      <c r="BH373" s="26"/>
      <c r="BI373" s="26"/>
      <c r="BJ373" s="26"/>
      <c r="BK373" s="27"/>
    </row>
    <row r="374" spans="2:63" ht="15.5">
      <c r="B374" s="25"/>
      <c r="C374" s="24"/>
      <c r="D374" s="24"/>
      <c r="E374" s="24"/>
      <c r="F374" s="24"/>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6"/>
      <c r="BC374" s="26"/>
      <c r="BD374" s="26"/>
      <c r="BE374" s="26"/>
      <c r="BF374" s="26"/>
      <c r="BG374" s="26"/>
      <c r="BH374" s="26"/>
      <c r="BI374" s="26"/>
      <c r="BJ374" s="26"/>
      <c r="BK374" s="27"/>
    </row>
    <row r="375" spans="2:63" ht="15.5">
      <c r="B375" s="25"/>
      <c r="C375" s="24"/>
      <c r="D375" s="24"/>
      <c r="E375" s="24"/>
      <c r="F375" s="24"/>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6"/>
      <c r="BC375" s="26"/>
      <c r="BD375" s="26"/>
      <c r="BE375" s="26"/>
      <c r="BF375" s="26"/>
      <c r="BG375" s="26"/>
      <c r="BH375" s="26"/>
      <c r="BI375" s="26"/>
      <c r="BJ375" s="26"/>
      <c r="BK375" s="27"/>
    </row>
    <row r="376" spans="2:63" ht="15.5">
      <c r="B376" s="25"/>
      <c r="C376" s="24"/>
      <c r="D376" s="24"/>
      <c r="E376" s="24"/>
      <c r="F376" s="24"/>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6"/>
      <c r="BC376" s="26"/>
      <c r="BD376" s="26"/>
      <c r="BE376" s="26"/>
      <c r="BF376" s="26"/>
      <c r="BG376" s="26"/>
      <c r="BH376" s="26"/>
      <c r="BI376" s="26"/>
      <c r="BJ376" s="26"/>
      <c r="BK376" s="27"/>
    </row>
    <row r="377" spans="2:63" ht="15.5">
      <c r="B377" s="25"/>
      <c r="C377" s="24"/>
      <c r="D377" s="24"/>
      <c r="E377" s="24"/>
      <c r="F377" s="24"/>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6"/>
      <c r="BC377" s="26"/>
      <c r="BD377" s="26"/>
      <c r="BE377" s="26"/>
      <c r="BF377" s="26"/>
      <c r="BG377" s="26"/>
      <c r="BH377" s="26"/>
      <c r="BI377" s="26"/>
      <c r="BJ377" s="26"/>
      <c r="BK377" s="27"/>
    </row>
    <row r="378" spans="2:63" ht="15.5">
      <c r="B378" s="25"/>
      <c r="C378" s="24"/>
      <c r="D378" s="24"/>
      <c r="E378" s="24"/>
      <c r="F378" s="24"/>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6"/>
      <c r="BC378" s="26"/>
      <c r="BD378" s="26"/>
      <c r="BE378" s="26"/>
      <c r="BF378" s="26"/>
      <c r="BG378" s="26"/>
      <c r="BH378" s="26"/>
      <c r="BI378" s="26"/>
      <c r="BJ378" s="26"/>
      <c r="BK378" s="27"/>
    </row>
    <row r="379" spans="2:63" ht="15.5">
      <c r="B379" s="25"/>
      <c r="C379" s="24"/>
      <c r="D379" s="24"/>
      <c r="E379" s="24"/>
      <c r="F379" s="24"/>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6"/>
      <c r="BC379" s="26"/>
      <c r="BD379" s="26"/>
      <c r="BE379" s="26"/>
      <c r="BF379" s="26"/>
      <c r="BG379" s="26"/>
      <c r="BH379" s="26"/>
      <c r="BI379" s="26"/>
      <c r="BJ379" s="26"/>
      <c r="BK379" s="27"/>
    </row>
    <row r="380" spans="2:63" ht="15.5">
      <c r="B380" s="25"/>
      <c r="C380" s="24"/>
      <c r="D380" s="24"/>
      <c r="E380" s="24"/>
      <c r="F380" s="24"/>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6"/>
      <c r="BC380" s="26"/>
      <c r="BD380" s="26"/>
      <c r="BE380" s="26"/>
      <c r="BF380" s="26"/>
      <c r="BG380" s="26"/>
      <c r="BH380" s="26"/>
      <c r="BI380" s="26"/>
      <c r="BJ380" s="26"/>
      <c r="BK380" s="27"/>
    </row>
    <row r="381" spans="2:63" ht="15.5">
      <c r="B381" s="25"/>
      <c r="C381" s="24"/>
      <c r="D381" s="24"/>
      <c r="E381" s="24"/>
      <c r="F381" s="24"/>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6"/>
      <c r="BC381" s="26"/>
      <c r="BD381" s="26"/>
      <c r="BE381" s="26"/>
      <c r="BF381" s="26"/>
      <c r="BG381" s="26"/>
      <c r="BH381" s="26"/>
      <c r="BI381" s="26"/>
      <c r="BJ381" s="26"/>
      <c r="BK381" s="27"/>
    </row>
    <row r="382" spans="2:63" ht="15.5">
      <c r="B382" s="25"/>
      <c r="C382" s="24"/>
      <c r="D382" s="24"/>
      <c r="E382" s="24"/>
      <c r="F382" s="24"/>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6"/>
      <c r="BC382" s="26"/>
      <c r="BD382" s="26"/>
      <c r="BE382" s="26"/>
      <c r="BF382" s="26"/>
      <c r="BG382" s="26"/>
      <c r="BH382" s="26"/>
      <c r="BI382" s="26"/>
      <c r="BJ382" s="26"/>
      <c r="BK382" s="27"/>
    </row>
    <row r="383" spans="2:63" ht="15.5">
      <c r="B383" s="25"/>
      <c r="C383" s="24"/>
      <c r="D383" s="24"/>
      <c r="E383" s="24"/>
      <c r="F383" s="24"/>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6"/>
      <c r="BC383" s="26"/>
      <c r="BD383" s="26"/>
      <c r="BE383" s="26"/>
      <c r="BF383" s="26"/>
      <c r="BG383" s="26"/>
      <c r="BH383" s="26"/>
      <c r="BI383" s="26"/>
      <c r="BJ383" s="26"/>
      <c r="BK383" s="27"/>
    </row>
    <row r="384" spans="2:63" ht="15.5">
      <c r="B384" s="25"/>
      <c r="C384" s="24"/>
      <c r="D384" s="24"/>
      <c r="E384" s="24"/>
      <c r="F384" s="24"/>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6"/>
      <c r="BC384" s="26"/>
      <c r="BD384" s="26"/>
      <c r="BE384" s="26"/>
      <c r="BF384" s="26"/>
      <c r="BG384" s="26"/>
      <c r="BH384" s="26"/>
      <c r="BI384" s="26"/>
      <c r="BJ384" s="26"/>
      <c r="BK384" s="27"/>
    </row>
    <row r="385" spans="2:63" ht="15.5">
      <c r="B385" s="25"/>
      <c r="C385" s="24"/>
      <c r="D385" s="24"/>
      <c r="E385" s="24"/>
      <c r="F385" s="24"/>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6"/>
      <c r="BC385" s="26"/>
      <c r="BD385" s="26"/>
      <c r="BE385" s="26"/>
      <c r="BF385" s="26"/>
      <c r="BG385" s="26"/>
      <c r="BH385" s="26"/>
      <c r="BI385" s="26"/>
      <c r="BJ385" s="26"/>
      <c r="BK385" s="27"/>
    </row>
    <row r="386" spans="2:63" ht="15.5">
      <c r="B386" s="25"/>
      <c r="C386" s="24"/>
      <c r="D386" s="24"/>
      <c r="E386" s="24"/>
      <c r="F386" s="24"/>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6"/>
      <c r="BC386" s="26"/>
      <c r="BD386" s="26"/>
      <c r="BE386" s="26"/>
      <c r="BF386" s="26"/>
      <c r="BG386" s="26"/>
      <c r="BH386" s="26"/>
      <c r="BI386" s="26"/>
      <c r="BJ386" s="26"/>
      <c r="BK386" s="27"/>
    </row>
    <row r="387" spans="2:63" ht="15.5">
      <c r="B387" s="25"/>
      <c r="C387" s="24"/>
      <c r="D387" s="24"/>
      <c r="E387" s="24"/>
      <c r="F387" s="24"/>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6"/>
      <c r="BC387" s="26"/>
      <c r="BD387" s="26"/>
      <c r="BE387" s="26"/>
      <c r="BF387" s="26"/>
      <c r="BG387" s="26"/>
      <c r="BH387" s="26"/>
      <c r="BI387" s="26"/>
      <c r="BJ387" s="26"/>
      <c r="BK387" s="27"/>
    </row>
    <row r="388" spans="2:63" ht="15.5">
      <c r="B388" s="25"/>
      <c r="C388" s="24"/>
      <c r="D388" s="24"/>
      <c r="E388" s="24"/>
      <c r="F388" s="24"/>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6"/>
      <c r="BC388" s="26"/>
      <c r="BD388" s="26"/>
      <c r="BE388" s="26"/>
      <c r="BF388" s="26"/>
      <c r="BG388" s="26"/>
      <c r="BH388" s="26"/>
      <c r="BI388" s="26"/>
      <c r="BJ388" s="26"/>
      <c r="BK388" s="27"/>
    </row>
    <row r="389" spans="2:63" ht="15.5">
      <c r="B389" s="25"/>
      <c r="C389" s="24"/>
      <c r="D389" s="24"/>
      <c r="E389" s="24"/>
      <c r="F389" s="24"/>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6"/>
      <c r="BC389" s="26"/>
      <c r="BD389" s="26"/>
      <c r="BE389" s="26"/>
      <c r="BF389" s="26"/>
      <c r="BG389" s="26"/>
      <c r="BH389" s="26"/>
      <c r="BI389" s="26"/>
      <c r="BJ389" s="26"/>
      <c r="BK389" s="27"/>
    </row>
    <row r="390" spans="2:63" ht="15.5">
      <c r="B390" s="25"/>
      <c r="C390" s="24"/>
      <c r="D390" s="24"/>
      <c r="E390" s="24"/>
      <c r="F390" s="24"/>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6"/>
      <c r="BC390" s="26"/>
      <c r="BD390" s="26"/>
      <c r="BE390" s="26"/>
      <c r="BF390" s="26"/>
      <c r="BG390" s="26"/>
      <c r="BH390" s="26"/>
      <c r="BI390" s="26"/>
      <c r="BJ390" s="26"/>
      <c r="BK390" s="27"/>
    </row>
    <row r="391" spans="2:63" ht="15.5">
      <c r="B391" s="25"/>
      <c r="C391" s="24"/>
      <c r="D391" s="24"/>
      <c r="E391" s="24"/>
      <c r="F391" s="24"/>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6"/>
      <c r="BC391" s="26"/>
      <c r="BD391" s="26"/>
      <c r="BE391" s="26"/>
      <c r="BF391" s="26"/>
      <c r="BG391" s="26"/>
      <c r="BH391" s="26"/>
      <c r="BI391" s="26"/>
      <c r="BJ391" s="26"/>
      <c r="BK391" s="27"/>
    </row>
    <row r="392" spans="2:63" ht="15.5">
      <c r="B392" s="25"/>
      <c r="C392" s="24"/>
      <c r="D392" s="24"/>
      <c r="E392" s="24"/>
      <c r="F392" s="24"/>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6"/>
      <c r="BC392" s="26"/>
      <c r="BD392" s="26"/>
      <c r="BE392" s="26"/>
      <c r="BF392" s="26"/>
      <c r="BG392" s="26"/>
      <c r="BH392" s="26"/>
      <c r="BI392" s="26"/>
      <c r="BJ392" s="26"/>
      <c r="BK392" s="27"/>
    </row>
    <row r="393" spans="2:63" ht="15.5">
      <c r="B393" s="25"/>
      <c r="C393" s="24"/>
      <c r="D393" s="24"/>
      <c r="E393" s="24"/>
      <c r="F393" s="24"/>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6"/>
      <c r="BC393" s="26"/>
      <c r="BD393" s="26"/>
      <c r="BE393" s="26"/>
      <c r="BF393" s="26"/>
      <c r="BG393" s="26"/>
      <c r="BH393" s="26"/>
      <c r="BI393" s="26"/>
      <c r="BJ393" s="26"/>
      <c r="BK393" s="27"/>
    </row>
    <row r="394" spans="2:63" ht="15.5">
      <c r="B394" s="25"/>
      <c r="C394" s="24"/>
      <c r="D394" s="24"/>
      <c r="E394" s="24"/>
      <c r="F394" s="24"/>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6"/>
      <c r="BC394" s="26"/>
      <c r="BD394" s="26"/>
      <c r="BE394" s="26"/>
      <c r="BF394" s="26"/>
      <c r="BG394" s="26"/>
      <c r="BH394" s="26"/>
      <c r="BI394" s="26"/>
      <c r="BJ394" s="26"/>
      <c r="BK394" s="27"/>
    </row>
    <row r="395" spans="2:63" ht="15.5">
      <c r="B395" s="25"/>
      <c r="C395" s="24"/>
      <c r="D395" s="24"/>
      <c r="E395" s="24"/>
      <c r="F395" s="24"/>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6"/>
      <c r="BC395" s="26"/>
      <c r="BD395" s="26"/>
      <c r="BE395" s="26"/>
      <c r="BF395" s="26"/>
      <c r="BG395" s="26"/>
      <c r="BH395" s="26"/>
      <c r="BI395" s="26"/>
      <c r="BJ395" s="26"/>
      <c r="BK395" s="27"/>
    </row>
    <row r="396" spans="2:63" ht="15.5">
      <c r="B396" s="25"/>
      <c r="C396" s="24"/>
      <c r="D396" s="24"/>
      <c r="E396" s="24"/>
      <c r="F396" s="24"/>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6"/>
      <c r="BC396" s="26"/>
      <c r="BD396" s="26"/>
      <c r="BE396" s="26"/>
      <c r="BF396" s="26"/>
      <c r="BG396" s="26"/>
      <c r="BH396" s="26"/>
      <c r="BI396" s="26"/>
      <c r="BJ396" s="26"/>
      <c r="BK396" s="27"/>
    </row>
    <row r="397" spans="2:63" ht="15.5">
      <c r="B397" s="25"/>
      <c r="C397" s="24"/>
      <c r="D397" s="24"/>
      <c r="E397" s="24"/>
      <c r="F397" s="24"/>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6"/>
      <c r="BC397" s="26"/>
      <c r="BD397" s="26"/>
      <c r="BE397" s="26"/>
      <c r="BF397" s="26"/>
      <c r="BG397" s="26"/>
      <c r="BH397" s="26"/>
      <c r="BI397" s="26"/>
      <c r="BJ397" s="26"/>
      <c r="BK397" s="27"/>
    </row>
    <row r="398" spans="2:63" ht="15.5">
      <c r="B398" s="25"/>
      <c r="C398" s="24"/>
      <c r="D398" s="24"/>
      <c r="E398" s="24"/>
      <c r="F398" s="24"/>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6"/>
      <c r="BC398" s="26"/>
      <c r="BD398" s="26"/>
      <c r="BE398" s="26"/>
      <c r="BF398" s="26"/>
      <c r="BG398" s="26"/>
      <c r="BH398" s="26"/>
      <c r="BI398" s="26"/>
      <c r="BJ398" s="26"/>
      <c r="BK398" s="27"/>
    </row>
    <row r="399" spans="2:63" ht="15.5">
      <c r="B399" s="25"/>
      <c r="C399" s="24"/>
      <c r="D399" s="24"/>
      <c r="E399" s="24"/>
      <c r="F399" s="24"/>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6"/>
      <c r="BC399" s="26"/>
      <c r="BD399" s="26"/>
      <c r="BE399" s="26"/>
      <c r="BF399" s="26"/>
      <c r="BG399" s="26"/>
      <c r="BH399" s="26"/>
      <c r="BI399" s="26"/>
      <c r="BJ399" s="26"/>
      <c r="BK399" s="27"/>
    </row>
    <row r="400" spans="2:63" ht="15.5">
      <c r="B400" s="25"/>
      <c r="C400" s="24"/>
      <c r="D400" s="24"/>
      <c r="E400" s="24"/>
      <c r="F400" s="24"/>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6"/>
      <c r="BC400" s="26"/>
      <c r="BD400" s="26"/>
      <c r="BE400" s="26"/>
      <c r="BF400" s="26"/>
      <c r="BG400" s="26"/>
      <c r="BH400" s="26"/>
      <c r="BI400" s="26"/>
      <c r="BJ400" s="26"/>
      <c r="BK400" s="27"/>
    </row>
    <row r="401" spans="2:63" ht="15.5">
      <c r="B401" s="25"/>
      <c r="C401" s="24"/>
      <c r="D401" s="24"/>
      <c r="E401" s="24"/>
      <c r="F401" s="24"/>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6"/>
      <c r="BC401" s="26"/>
      <c r="BD401" s="26"/>
      <c r="BE401" s="26"/>
      <c r="BF401" s="26"/>
      <c r="BG401" s="26"/>
      <c r="BH401" s="26"/>
      <c r="BI401" s="26"/>
      <c r="BJ401" s="26"/>
      <c r="BK401" s="27"/>
    </row>
    <row r="402" spans="2:63" ht="15.5">
      <c r="B402" s="25"/>
      <c r="C402" s="24"/>
      <c r="D402" s="24"/>
      <c r="E402" s="24"/>
      <c r="F402" s="24"/>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6"/>
      <c r="BC402" s="26"/>
      <c r="BD402" s="26"/>
      <c r="BE402" s="26"/>
      <c r="BF402" s="26"/>
      <c r="BG402" s="26"/>
      <c r="BH402" s="26"/>
      <c r="BI402" s="26"/>
      <c r="BJ402" s="26"/>
      <c r="BK402" s="27"/>
    </row>
    <row r="403" spans="2:63" ht="15.5">
      <c r="B403" s="25"/>
      <c r="C403" s="24"/>
      <c r="D403" s="24"/>
      <c r="E403" s="24"/>
      <c r="F403" s="24"/>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6"/>
      <c r="BC403" s="26"/>
      <c r="BD403" s="26"/>
      <c r="BE403" s="26"/>
      <c r="BF403" s="26"/>
      <c r="BG403" s="26"/>
      <c r="BH403" s="26"/>
      <c r="BI403" s="26"/>
      <c r="BJ403" s="26"/>
      <c r="BK403" s="27"/>
    </row>
    <row r="404" spans="2:63" ht="15.5">
      <c r="B404" s="25"/>
      <c r="C404" s="24"/>
      <c r="D404" s="24"/>
      <c r="E404" s="24"/>
      <c r="F404" s="24"/>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6"/>
      <c r="BC404" s="26"/>
      <c r="BD404" s="26"/>
      <c r="BE404" s="26"/>
      <c r="BF404" s="26"/>
      <c r="BG404" s="26"/>
      <c r="BH404" s="26"/>
      <c r="BI404" s="26"/>
      <c r="BJ404" s="26"/>
      <c r="BK404" s="27"/>
    </row>
    <row r="405" spans="2:63" ht="15.5">
      <c r="B405" s="25"/>
      <c r="C405" s="24"/>
      <c r="D405" s="24"/>
      <c r="E405" s="24"/>
      <c r="F405" s="24"/>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6"/>
      <c r="BC405" s="26"/>
      <c r="BD405" s="26"/>
      <c r="BE405" s="26"/>
      <c r="BF405" s="26"/>
      <c r="BG405" s="26"/>
      <c r="BH405" s="26"/>
      <c r="BI405" s="26"/>
      <c r="BJ405" s="26"/>
      <c r="BK405" s="27"/>
    </row>
    <row r="406" spans="2:63" ht="15.5">
      <c r="B406" s="25"/>
      <c r="C406" s="24"/>
      <c r="D406" s="24"/>
      <c r="E406" s="24"/>
      <c r="F406" s="24"/>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6"/>
      <c r="BC406" s="26"/>
      <c r="BD406" s="26"/>
      <c r="BE406" s="26"/>
      <c r="BF406" s="26"/>
      <c r="BG406" s="26"/>
      <c r="BH406" s="26"/>
      <c r="BI406" s="26"/>
      <c r="BJ406" s="26"/>
      <c r="BK406" s="27"/>
    </row>
    <row r="407" spans="2:63" ht="15.5">
      <c r="B407" s="25"/>
      <c r="C407" s="24"/>
      <c r="D407" s="24"/>
      <c r="E407" s="24"/>
      <c r="F407" s="24"/>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6"/>
      <c r="BC407" s="26"/>
      <c r="BD407" s="26"/>
      <c r="BE407" s="26"/>
      <c r="BF407" s="26"/>
      <c r="BG407" s="26"/>
      <c r="BH407" s="26"/>
      <c r="BI407" s="26"/>
      <c r="BJ407" s="26"/>
      <c r="BK407" s="27"/>
    </row>
    <row r="408" spans="2:63" ht="15.5">
      <c r="B408" s="25"/>
      <c r="C408" s="24"/>
      <c r="D408" s="24"/>
      <c r="E408" s="24"/>
      <c r="F408" s="24"/>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6"/>
      <c r="BC408" s="26"/>
      <c r="BD408" s="26"/>
      <c r="BE408" s="26"/>
      <c r="BF408" s="26"/>
      <c r="BG408" s="26"/>
      <c r="BH408" s="26"/>
      <c r="BI408" s="26"/>
      <c r="BJ408" s="26"/>
      <c r="BK408" s="27"/>
    </row>
    <row r="409" spans="2:63" ht="15.5">
      <c r="B409" s="25"/>
      <c r="C409" s="24"/>
      <c r="D409" s="24"/>
      <c r="E409" s="24"/>
      <c r="F409" s="24"/>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6"/>
      <c r="BC409" s="26"/>
      <c r="BD409" s="26"/>
      <c r="BE409" s="26"/>
      <c r="BF409" s="26"/>
      <c r="BG409" s="26"/>
      <c r="BH409" s="26"/>
      <c r="BI409" s="26"/>
      <c r="BJ409" s="26"/>
      <c r="BK409" s="27"/>
    </row>
    <row r="410" spans="2:63" ht="15.5">
      <c r="B410" s="25"/>
      <c r="C410" s="24"/>
      <c r="D410" s="24"/>
      <c r="E410" s="24"/>
      <c r="F410" s="24"/>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6"/>
      <c r="BC410" s="26"/>
      <c r="BD410" s="26"/>
      <c r="BE410" s="26"/>
      <c r="BF410" s="26"/>
      <c r="BG410" s="26"/>
      <c r="BH410" s="26"/>
      <c r="BI410" s="26"/>
      <c r="BJ410" s="26"/>
      <c r="BK410" s="27"/>
    </row>
    <row r="411" spans="2:63" ht="15.5">
      <c r="B411" s="25"/>
      <c r="C411" s="24"/>
      <c r="D411" s="24"/>
      <c r="E411" s="24"/>
      <c r="F411" s="24"/>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6"/>
      <c r="BC411" s="26"/>
      <c r="BD411" s="26"/>
      <c r="BE411" s="26"/>
      <c r="BF411" s="26"/>
      <c r="BG411" s="26"/>
      <c r="BH411" s="26"/>
      <c r="BI411" s="26"/>
      <c r="BJ411" s="26"/>
      <c r="BK411" s="27"/>
    </row>
    <row r="412" spans="2:63" ht="15.5">
      <c r="B412" s="25"/>
      <c r="C412" s="24"/>
      <c r="D412" s="24"/>
      <c r="E412" s="24"/>
      <c r="F412" s="24"/>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6"/>
      <c r="BC412" s="26"/>
      <c r="BD412" s="26"/>
      <c r="BE412" s="26"/>
      <c r="BF412" s="26"/>
      <c r="BG412" s="26"/>
      <c r="BH412" s="26"/>
      <c r="BI412" s="26"/>
      <c r="BJ412" s="26"/>
      <c r="BK412" s="27"/>
    </row>
    <row r="413" spans="2:63" ht="15.5">
      <c r="B413" s="25"/>
      <c r="C413" s="24"/>
      <c r="D413" s="24"/>
      <c r="E413" s="24"/>
      <c r="F413" s="24"/>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6"/>
      <c r="BC413" s="26"/>
      <c r="BD413" s="26"/>
      <c r="BE413" s="26"/>
      <c r="BF413" s="26"/>
      <c r="BG413" s="26"/>
      <c r="BH413" s="26"/>
      <c r="BI413" s="26"/>
      <c r="BJ413" s="26"/>
      <c r="BK413" s="27"/>
    </row>
    <row r="414" spans="2:63" ht="15.5">
      <c r="B414" s="25"/>
      <c r="C414" s="24"/>
      <c r="D414" s="24"/>
      <c r="E414" s="24"/>
      <c r="F414" s="24"/>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6"/>
      <c r="BC414" s="26"/>
      <c r="BD414" s="26"/>
      <c r="BE414" s="26"/>
      <c r="BF414" s="26"/>
      <c r="BG414" s="26"/>
      <c r="BH414" s="26"/>
      <c r="BI414" s="26"/>
      <c r="BJ414" s="26"/>
      <c r="BK414" s="27"/>
    </row>
    <row r="415" spans="2:63" ht="15.5">
      <c r="B415" s="25"/>
      <c r="C415" s="24"/>
      <c r="D415" s="24"/>
      <c r="E415" s="24"/>
      <c r="F415" s="24"/>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6"/>
      <c r="BC415" s="26"/>
      <c r="BD415" s="26"/>
      <c r="BE415" s="26"/>
      <c r="BF415" s="26"/>
      <c r="BG415" s="26"/>
      <c r="BH415" s="26"/>
      <c r="BI415" s="26"/>
      <c r="BJ415" s="26"/>
      <c r="BK415" s="27"/>
    </row>
    <row r="416" spans="2:63" ht="15.5">
      <c r="B416" s="25"/>
      <c r="C416" s="24"/>
      <c r="D416" s="24"/>
      <c r="E416" s="24"/>
      <c r="F416" s="24"/>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6"/>
      <c r="BC416" s="26"/>
      <c r="BD416" s="26"/>
      <c r="BE416" s="26"/>
      <c r="BF416" s="26"/>
      <c r="BG416" s="26"/>
      <c r="BH416" s="26"/>
      <c r="BI416" s="26"/>
      <c r="BJ416" s="26"/>
      <c r="BK416" s="27"/>
    </row>
    <row r="417" spans="2:63" ht="15.5">
      <c r="B417" s="25"/>
      <c r="C417" s="24"/>
      <c r="D417" s="24"/>
      <c r="E417" s="24"/>
      <c r="F417" s="24"/>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6"/>
      <c r="BC417" s="26"/>
      <c r="BD417" s="26"/>
      <c r="BE417" s="26"/>
      <c r="BF417" s="26"/>
      <c r="BG417" s="26"/>
      <c r="BH417" s="26"/>
      <c r="BI417" s="26"/>
      <c r="BJ417" s="26"/>
      <c r="BK417" s="27"/>
    </row>
    <row r="418" spans="2:63" ht="15.5">
      <c r="B418" s="25"/>
      <c r="C418" s="24"/>
      <c r="D418" s="24"/>
      <c r="E418" s="24"/>
      <c r="F418" s="24"/>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6"/>
      <c r="BC418" s="26"/>
      <c r="BD418" s="26"/>
      <c r="BE418" s="26"/>
      <c r="BF418" s="26"/>
      <c r="BG418" s="26"/>
      <c r="BH418" s="26"/>
      <c r="BI418" s="26"/>
      <c r="BJ418" s="26"/>
      <c r="BK418" s="27"/>
    </row>
    <row r="419" spans="2:63" ht="15.5">
      <c r="B419" s="25"/>
      <c r="C419" s="24"/>
      <c r="D419" s="24"/>
      <c r="E419" s="24"/>
      <c r="F419" s="24"/>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6"/>
      <c r="BC419" s="26"/>
      <c r="BD419" s="26"/>
      <c r="BE419" s="26"/>
      <c r="BF419" s="26"/>
      <c r="BG419" s="26"/>
      <c r="BH419" s="26"/>
      <c r="BI419" s="26"/>
      <c r="BJ419" s="26"/>
      <c r="BK419" s="27"/>
    </row>
    <row r="420" spans="2:63" ht="15.5">
      <c r="B420" s="25"/>
      <c r="C420" s="24"/>
      <c r="D420" s="24"/>
      <c r="E420" s="24"/>
      <c r="F420" s="24"/>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6"/>
      <c r="BC420" s="26"/>
      <c r="BD420" s="26"/>
      <c r="BE420" s="26"/>
      <c r="BF420" s="26"/>
      <c r="BG420" s="26"/>
      <c r="BH420" s="26"/>
      <c r="BI420" s="26"/>
      <c r="BJ420" s="26"/>
      <c r="BK420" s="27"/>
    </row>
    <row r="421" spans="2:63" ht="15.5">
      <c r="B421" s="25"/>
      <c r="C421" s="24"/>
      <c r="D421" s="24"/>
      <c r="E421" s="24"/>
      <c r="F421" s="24"/>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6"/>
      <c r="BC421" s="26"/>
      <c r="BD421" s="26"/>
      <c r="BE421" s="26"/>
      <c r="BF421" s="26"/>
      <c r="BG421" s="26"/>
      <c r="BH421" s="26"/>
      <c r="BI421" s="26"/>
      <c r="BJ421" s="26"/>
      <c r="BK421" s="27"/>
    </row>
    <row r="422" spans="2:63" ht="15.5">
      <c r="B422" s="25"/>
      <c r="C422" s="24"/>
      <c r="D422" s="24"/>
      <c r="E422" s="24"/>
      <c r="F422" s="24"/>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6"/>
      <c r="BC422" s="26"/>
      <c r="BD422" s="26"/>
      <c r="BE422" s="26"/>
      <c r="BF422" s="26"/>
      <c r="BG422" s="26"/>
      <c r="BH422" s="26"/>
      <c r="BI422" s="26"/>
      <c r="BJ422" s="26"/>
      <c r="BK422" s="27"/>
    </row>
    <row r="423" spans="2:63" ht="15.5">
      <c r="B423" s="25"/>
      <c r="C423" s="24"/>
      <c r="D423" s="24"/>
      <c r="E423" s="24"/>
      <c r="F423" s="24"/>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6"/>
      <c r="BC423" s="26"/>
      <c r="BD423" s="26"/>
      <c r="BE423" s="26"/>
      <c r="BF423" s="26"/>
      <c r="BG423" s="26"/>
      <c r="BH423" s="26"/>
      <c r="BI423" s="26"/>
      <c r="BJ423" s="26"/>
      <c r="BK423" s="27"/>
    </row>
    <row r="424" spans="2:63" ht="15.5">
      <c r="B424" s="25"/>
      <c r="C424" s="24"/>
      <c r="D424" s="24"/>
      <c r="E424" s="24"/>
      <c r="F424" s="24"/>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6"/>
      <c r="BC424" s="26"/>
      <c r="BD424" s="26"/>
      <c r="BE424" s="26"/>
      <c r="BF424" s="26"/>
      <c r="BG424" s="26"/>
      <c r="BH424" s="26"/>
      <c r="BI424" s="26"/>
      <c r="BJ424" s="26"/>
      <c r="BK424" s="27"/>
    </row>
    <row r="425" spans="2:63" ht="15.5">
      <c r="B425" s="25"/>
      <c r="C425" s="24"/>
      <c r="D425" s="24"/>
      <c r="E425" s="24"/>
      <c r="F425" s="24"/>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6"/>
      <c r="BC425" s="26"/>
      <c r="BD425" s="26"/>
      <c r="BE425" s="26"/>
      <c r="BF425" s="26"/>
      <c r="BG425" s="26"/>
      <c r="BH425" s="26"/>
      <c r="BI425" s="26"/>
      <c r="BJ425" s="26"/>
      <c r="BK425" s="27"/>
    </row>
    <row r="426" spans="2:63" ht="15.5">
      <c r="B426" s="25"/>
      <c r="C426" s="24"/>
      <c r="D426" s="24"/>
      <c r="E426" s="24"/>
      <c r="F426" s="24"/>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6"/>
      <c r="BC426" s="26"/>
      <c r="BD426" s="26"/>
      <c r="BE426" s="26"/>
      <c r="BF426" s="26"/>
      <c r="BG426" s="26"/>
      <c r="BH426" s="26"/>
      <c r="BI426" s="26"/>
      <c r="BJ426" s="26"/>
      <c r="BK426" s="27"/>
    </row>
    <row r="427" spans="2:63" ht="15.5">
      <c r="B427" s="25"/>
      <c r="C427" s="24"/>
      <c r="D427" s="24"/>
      <c r="E427" s="24"/>
      <c r="F427" s="24"/>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6"/>
      <c r="BC427" s="26"/>
      <c r="BD427" s="26"/>
      <c r="BE427" s="26"/>
      <c r="BF427" s="26"/>
      <c r="BG427" s="26"/>
      <c r="BH427" s="26"/>
      <c r="BI427" s="26"/>
      <c r="BJ427" s="26"/>
      <c r="BK427" s="27"/>
    </row>
    <row r="428" spans="2:63" ht="15.5">
      <c r="B428" s="25"/>
      <c r="C428" s="24"/>
      <c r="D428" s="24"/>
      <c r="E428" s="24"/>
      <c r="F428" s="24"/>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6"/>
      <c r="BC428" s="26"/>
      <c r="BD428" s="26"/>
      <c r="BE428" s="26"/>
      <c r="BF428" s="26"/>
      <c r="BG428" s="26"/>
      <c r="BH428" s="26"/>
      <c r="BI428" s="26"/>
      <c r="BJ428" s="26"/>
      <c r="BK428" s="27"/>
    </row>
    <row r="429" spans="2:63" ht="15.5">
      <c r="B429" s="25"/>
      <c r="C429" s="24"/>
      <c r="D429" s="24"/>
      <c r="E429" s="24"/>
      <c r="F429" s="24"/>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6"/>
      <c r="BC429" s="26"/>
      <c r="BD429" s="26"/>
      <c r="BE429" s="26"/>
      <c r="BF429" s="26"/>
      <c r="BG429" s="26"/>
      <c r="BH429" s="26"/>
      <c r="BI429" s="26"/>
      <c r="BJ429" s="26"/>
      <c r="BK429" s="27"/>
    </row>
    <row r="430" spans="2:63" ht="15.5">
      <c r="B430" s="25"/>
      <c r="C430" s="24"/>
      <c r="D430" s="24"/>
      <c r="E430" s="24"/>
      <c r="F430" s="24"/>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6"/>
      <c r="BC430" s="26"/>
      <c r="BD430" s="26"/>
      <c r="BE430" s="26"/>
      <c r="BF430" s="26"/>
      <c r="BG430" s="26"/>
      <c r="BH430" s="26"/>
      <c r="BI430" s="26"/>
      <c r="BJ430" s="26"/>
      <c r="BK430" s="27"/>
    </row>
    <row r="431" spans="2:63" ht="15.5">
      <c r="B431" s="25"/>
      <c r="C431" s="24"/>
      <c r="D431" s="24"/>
      <c r="E431" s="24"/>
      <c r="F431" s="24"/>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6"/>
      <c r="BC431" s="26"/>
      <c r="BD431" s="26"/>
      <c r="BE431" s="26"/>
      <c r="BF431" s="26"/>
      <c r="BG431" s="26"/>
      <c r="BH431" s="26"/>
      <c r="BI431" s="26"/>
      <c r="BJ431" s="26"/>
      <c r="BK431" s="27"/>
    </row>
    <row r="432" spans="2:63" ht="15.5">
      <c r="B432" s="25"/>
      <c r="C432" s="24"/>
      <c r="D432" s="24"/>
      <c r="E432" s="24"/>
      <c r="F432" s="24"/>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6"/>
      <c r="BC432" s="26"/>
      <c r="BD432" s="26"/>
      <c r="BE432" s="26"/>
      <c r="BF432" s="26"/>
      <c r="BG432" s="26"/>
      <c r="BH432" s="26"/>
      <c r="BI432" s="26"/>
      <c r="BJ432" s="26"/>
      <c r="BK432" s="27"/>
    </row>
    <row r="433" spans="2:63" ht="15.5">
      <c r="B433" s="25"/>
      <c r="C433" s="24"/>
      <c r="D433" s="24"/>
      <c r="E433" s="24"/>
      <c r="F433" s="24"/>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6"/>
      <c r="BC433" s="26"/>
      <c r="BD433" s="26"/>
      <c r="BE433" s="26"/>
      <c r="BF433" s="26"/>
      <c r="BG433" s="26"/>
      <c r="BH433" s="26"/>
      <c r="BI433" s="26"/>
      <c r="BJ433" s="26"/>
      <c r="BK433" s="27"/>
    </row>
    <row r="434" spans="2:63" ht="15.5">
      <c r="B434" s="25"/>
      <c r="C434" s="24"/>
      <c r="D434" s="24"/>
      <c r="E434" s="24"/>
      <c r="F434" s="24"/>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6"/>
      <c r="BC434" s="26"/>
      <c r="BD434" s="26"/>
      <c r="BE434" s="26"/>
      <c r="BF434" s="26"/>
      <c r="BG434" s="26"/>
      <c r="BH434" s="26"/>
      <c r="BI434" s="26"/>
      <c r="BJ434" s="26"/>
      <c r="BK434" s="27"/>
    </row>
    <row r="435" spans="2:63" ht="15.5">
      <c r="B435" s="25"/>
      <c r="C435" s="24"/>
      <c r="D435" s="24"/>
      <c r="E435" s="24"/>
      <c r="F435" s="24"/>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6"/>
      <c r="BC435" s="26"/>
      <c r="BD435" s="26"/>
      <c r="BE435" s="26"/>
      <c r="BF435" s="26"/>
      <c r="BG435" s="26"/>
      <c r="BH435" s="26"/>
      <c r="BI435" s="26"/>
      <c r="BJ435" s="26"/>
      <c r="BK435" s="27"/>
    </row>
    <row r="436" spans="2:63" ht="15.5">
      <c r="B436" s="25"/>
      <c r="C436" s="24"/>
      <c r="D436" s="24"/>
      <c r="E436" s="24"/>
      <c r="F436" s="24"/>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6"/>
      <c r="BC436" s="26"/>
      <c r="BD436" s="26"/>
      <c r="BE436" s="26"/>
      <c r="BF436" s="26"/>
      <c r="BG436" s="26"/>
      <c r="BH436" s="26"/>
      <c r="BI436" s="26"/>
      <c r="BJ436" s="26"/>
      <c r="BK436" s="27"/>
    </row>
    <row r="437" spans="2:63" ht="15.5">
      <c r="B437" s="25"/>
      <c r="C437" s="24"/>
      <c r="D437" s="24"/>
      <c r="E437" s="24"/>
      <c r="F437" s="24"/>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6"/>
      <c r="BC437" s="26"/>
      <c r="BD437" s="26"/>
      <c r="BE437" s="26"/>
      <c r="BF437" s="26"/>
      <c r="BG437" s="26"/>
      <c r="BH437" s="26"/>
      <c r="BI437" s="26"/>
      <c r="BJ437" s="26"/>
      <c r="BK437" s="27"/>
    </row>
    <row r="438" spans="2:63" ht="15.5">
      <c r="B438" s="25"/>
      <c r="C438" s="24"/>
      <c r="D438" s="24"/>
      <c r="E438" s="24"/>
      <c r="F438" s="24"/>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6"/>
      <c r="BC438" s="26"/>
      <c r="BD438" s="26"/>
      <c r="BE438" s="26"/>
      <c r="BF438" s="26"/>
      <c r="BG438" s="26"/>
      <c r="BH438" s="26"/>
      <c r="BI438" s="26"/>
      <c r="BJ438" s="26"/>
      <c r="BK438" s="27"/>
    </row>
    <row r="439" spans="2:63" ht="15.5">
      <c r="B439" s="25"/>
      <c r="C439" s="24"/>
      <c r="D439" s="24"/>
      <c r="E439" s="24"/>
      <c r="F439" s="24"/>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6"/>
      <c r="BC439" s="26"/>
      <c r="BD439" s="26"/>
      <c r="BE439" s="26"/>
      <c r="BF439" s="26"/>
      <c r="BG439" s="26"/>
      <c r="BH439" s="26"/>
      <c r="BI439" s="26"/>
      <c r="BJ439" s="26"/>
      <c r="BK439" s="27"/>
    </row>
    <row r="440" spans="2:63" ht="15.5">
      <c r="B440" s="25"/>
      <c r="C440" s="24"/>
      <c r="D440" s="24"/>
      <c r="E440" s="24"/>
      <c r="F440" s="24"/>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6"/>
      <c r="BC440" s="26"/>
      <c r="BD440" s="26"/>
      <c r="BE440" s="26"/>
      <c r="BF440" s="26"/>
      <c r="BG440" s="26"/>
      <c r="BH440" s="26"/>
      <c r="BI440" s="26"/>
      <c r="BJ440" s="26"/>
      <c r="BK440" s="27"/>
    </row>
    <row r="441" spans="2:63" ht="15.5">
      <c r="B441" s="25"/>
      <c r="C441" s="24"/>
      <c r="D441" s="24"/>
      <c r="E441" s="24"/>
      <c r="F441" s="24"/>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6"/>
      <c r="BC441" s="26"/>
      <c r="BD441" s="26"/>
      <c r="BE441" s="26"/>
      <c r="BF441" s="26"/>
      <c r="BG441" s="26"/>
      <c r="BH441" s="26"/>
      <c r="BI441" s="26"/>
      <c r="BJ441" s="26"/>
      <c r="BK441" s="27"/>
    </row>
    <row r="442" spans="2:63" ht="15.5">
      <c r="B442" s="25"/>
      <c r="C442" s="24"/>
      <c r="D442" s="24"/>
      <c r="E442" s="24"/>
      <c r="F442" s="24"/>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6"/>
      <c r="BC442" s="26"/>
      <c r="BD442" s="26"/>
      <c r="BE442" s="26"/>
      <c r="BF442" s="26"/>
      <c r="BG442" s="26"/>
      <c r="BH442" s="26"/>
      <c r="BI442" s="26"/>
      <c r="BJ442" s="26"/>
      <c r="BK442" s="27"/>
    </row>
    <row r="443" spans="2:63" ht="15.5">
      <c r="B443" s="25"/>
      <c r="C443" s="24"/>
      <c r="D443" s="24"/>
      <c r="E443" s="24"/>
      <c r="F443" s="24"/>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6"/>
      <c r="BC443" s="26"/>
      <c r="BD443" s="26"/>
      <c r="BE443" s="26"/>
      <c r="BF443" s="26"/>
      <c r="BG443" s="26"/>
      <c r="BH443" s="26"/>
      <c r="BI443" s="26"/>
      <c r="BJ443" s="26"/>
      <c r="BK443" s="27"/>
    </row>
    <row r="444" spans="2:63" ht="15.5">
      <c r="B444" s="25"/>
      <c r="C444" s="24"/>
      <c r="D444" s="24"/>
      <c r="E444" s="24"/>
      <c r="F444" s="24"/>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6"/>
      <c r="BC444" s="26"/>
      <c r="BD444" s="26"/>
      <c r="BE444" s="26"/>
      <c r="BF444" s="26"/>
      <c r="BG444" s="26"/>
      <c r="BH444" s="26"/>
      <c r="BI444" s="26"/>
      <c r="BJ444" s="26"/>
      <c r="BK444" s="27"/>
    </row>
    <row r="445" spans="2:63" ht="15.5">
      <c r="B445" s="25"/>
      <c r="C445" s="24"/>
      <c r="D445" s="24"/>
      <c r="E445" s="24"/>
      <c r="F445" s="24"/>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6"/>
      <c r="BC445" s="26"/>
      <c r="BD445" s="26"/>
      <c r="BE445" s="26"/>
      <c r="BF445" s="26"/>
      <c r="BG445" s="26"/>
      <c r="BH445" s="26"/>
      <c r="BI445" s="26"/>
      <c r="BJ445" s="26"/>
      <c r="BK445" s="27"/>
    </row>
    <row r="446" spans="2:63" ht="15.5">
      <c r="B446" s="25"/>
      <c r="C446" s="24"/>
      <c r="D446" s="24"/>
      <c r="E446" s="24"/>
      <c r="F446" s="24"/>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6"/>
      <c r="BC446" s="26"/>
      <c r="BD446" s="26"/>
      <c r="BE446" s="26"/>
      <c r="BF446" s="26"/>
      <c r="BG446" s="26"/>
      <c r="BH446" s="26"/>
      <c r="BI446" s="26"/>
      <c r="BJ446" s="26"/>
      <c r="BK446" s="27"/>
    </row>
    <row r="447" spans="2:63" ht="15.5">
      <c r="B447" s="25"/>
      <c r="C447" s="24"/>
      <c r="D447" s="24"/>
      <c r="E447" s="24"/>
      <c r="F447" s="24"/>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6"/>
      <c r="BC447" s="26"/>
      <c r="BD447" s="26"/>
      <c r="BE447" s="26"/>
      <c r="BF447" s="26"/>
      <c r="BG447" s="26"/>
      <c r="BH447" s="26"/>
      <c r="BI447" s="26"/>
      <c r="BJ447" s="26"/>
      <c r="BK447" s="27"/>
    </row>
    <row r="448" spans="2:63" ht="15.5">
      <c r="B448" s="25"/>
      <c r="C448" s="24"/>
      <c r="D448" s="24"/>
      <c r="E448" s="24"/>
      <c r="F448" s="24"/>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6"/>
      <c r="BC448" s="26"/>
      <c r="BD448" s="26"/>
      <c r="BE448" s="26"/>
      <c r="BF448" s="26"/>
      <c r="BG448" s="26"/>
      <c r="BH448" s="26"/>
      <c r="BI448" s="26"/>
      <c r="BJ448" s="26"/>
      <c r="BK448" s="27"/>
    </row>
    <row r="449" spans="2:63" ht="15.5">
      <c r="B449" s="25"/>
      <c r="C449" s="24"/>
      <c r="D449" s="24"/>
      <c r="E449" s="24"/>
      <c r="F449" s="24"/>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6"/>
      <c r="BC449" s="26"/>
      <c r="BD449" s="26"/>
      <c r="BE449" s="26"/>
      <c r="BF449" s="26"/>
      <c r="BG449" s="26"/>
      <c r="BH449" s="26"/>
      <c r="BI449" s="26"/>
      <c r="BJ449" s="26"/>
      <c r="BK449" s="27"/>
    </row>
    <row r="450" spans="2:63" ht="15.5">
      <c r="B450" s="25"/>
      <c r="C450" s="24"/>
      <c r="D450" s="24"/>
      <c r="E450" s="24"/>
      <c r="F450" s="24"/>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6"/>
      <c r="BC450" s="26"/>
      <c r="BD450" s="26"/>
      <c r="BE450" s="26"/>
      <c r="BF450" s="26"/>
      <c r="BG450" s="26"/>
      <c r="BH450" s="26"/>
      <c r="BI450" s="26"/>
      <c r="BJ450" s="26"/>
      <c r="BK450" s="27"/>
    </row>
    <row r="451" spans="2:63" ht="15.5">
      <c r="B451" s="25"/>
      <c r="C451" s="24"/>
      <c r="D451" s="24"/>
      <c r="E451" s="24"/>
      <c r="F451" s="24"/>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6"/>
      <c r="BC451" s="26"/>
      <c r="BD451" s="26"/>
      <c r="BE451" s="26"/>
      <c r="BF451" s="26"/>
      <c r="BG451" s="26"/>
      <c r="BH451" s="26"/>
      <c r="BI451" s="26"/>
      <c r="BJ451" s="26"/>
      <c r="BK451" s="27"/>
    </row>
    <row r="452" spans="2:63" ht="15.5">
      <c r="B452" s="25"/>
      <c r="C452" s="24"/>
      <c r="D452" s="24"/>
      <c r="E452" s="24"/>
      <c r="F452" s="24"/>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6"/>
      <c r="BC452" s="26"/>
      <c r="BD452" s="26"/>
      <c r="BE452" s="26"/>
      <c r="BF452" s="26"/>
      <c r="BG452" s="26"/>
      <c r="BH452" s="26"/>
      <c r="BI452" s="26"/>
      <c r="BJ452" s="26"/>
      <c r="BK452" s="27"/>
    </row>
    <row r="453" spans="2:63" ht="15.5">
      <c r="B453" s="25"/>
      <c r="C453" s="24"/>
      <c r="D453" s="24"/>
      <c r="E453" s="24"/>
      <c r="F453" s="24"/>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6"/>
      <c r="BC453" s="26"/>
      <c r="BD453" s="26"/>
      <c r="BE453" s="26"/>
      <c r="BF453" s="26"/>
      <c r="BG453" s="26"/>
      <c r="BH453" s="26"/>
      <c r="BI453" s="26"/>
      <c r="BJ453" s="26"/>
      <c r="BK453" s="27"/>
    </row>
    <row r="454" spans="2:63" ht="15.5">
      <c r="B454" s="25"/>
      <c r="C454" s="24"/>
      <c r="D454" s="24"/>
      <c r="E454" s="24"/>
      <c r="F454" s="24"/>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6"/>
      <c r="BC454" s="26"/>
      <c r="BD454" s="26"/>
      <c r="BE454" s="26"/>
      <c r="BF454" s="26"/>
      <c r="BG454" s="26"/>
      <c r="BH454" s="26"/>
      <c r="BI454" s="26"/>
      <c r="BJ454" s="26"/>
      <c r="BK454" s="27"/>
    </row>
    <row r="455" spans="2:63" ht="15.5">
      <c r="B455" s="25"/>
      <c r="C455" s="24"/>
      <c r="D455" s="24"/>
      <c r="E455" s="24"/>
      <c r="F455" s="24"/>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6"/>
      <c r="BC455" s="26"/>
      <c r="BD455" s="26"/>
      <c r="BE455" s="26"/>
      <c r="BF455" s="26"/>
      <c r="BG455" s="26"/>
      <c r="BH455" s="26"/>
      <c r="BI455" s="26"/>
      <c r="BJ455" s="26"/>
      <c r="BK455" s="27"/>
    </row>
    <row r="456" spans="2:63" ht="15.5">
      <c r="B456" s="25"/>
      <c r="C456" s="24"/>
      <c r="D456" s="24"/>
      <c r="E456" s="24"/>
      <c r="F456" s="24"/>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6"/>
      <c r="BC456" s="26"/>
      <c r="BD456" s="26"/>
      <c r="BE456" s="26"/>
      <c r="BF456" s="26"/>
      <c r="BG456" s="26"/>
      <c r="BH456" s="26"/>
      <c r="BI456" s="26"/>
      <c r="BJ456" s="26"/>
      <c r="BK456" s="27"/>
    </row>
    <row r="457" spans="2:63" ht="15.5">
      <c r="B457" s="25"/>
      <c r="C457" s="24"/>
      <c r="D457" s="24"/>
      <c r="E457" s="24"/>
      <c r="F457" s="24"/>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6"/>
      <c r="BC457" s="26"/>
      <c r="BD457" s="26"/>
      <c r="BE457" s="26"/>
      <c r="BF457" s="26"/>
      <c r="BG457" s="26"/>
      <c r="BH457" s="26"/>
      <c r="BI457" s="26"/>
      <c r="BJ457" s="26"/>
      <c r="BK457" s="27"/>
    </row>
    <row r="458" spans="2:63" ht="15.5">
      <c r="B458" s="25"/>
      <c r="C458" s="24"/>
      <c r="D458" s="24"/>
      <c r="E458" s="24"/>
      <c r="F458" s="24"/>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6"/>
      <c r="BC458" s="26"/>
      <c r="BD458" s="26"/>
      <c r="BE458" s="26"/>
      <c r="BF458" s="26"/>
      <c r="BG458" s="26"/>
      <c r="BH458" s="26"/>
      <c r="BI458" s="26"/>
      <c r="BJ458" s="26"/>
      <c r="BK458" s="27"/>
    </row>
    <row r="459" spans="2:63" ht="15.5">
      <c r="B459" s="25"/>
      <c r="C459" s="24"/>
      <c r="D459" s="24"/>
      <c r="E459" s="24"/>
      <c r="F459" s="24"/>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6"/>
      <c r="BC459" s="26"/>
      <c r="BD459" s="26"/>
      <c r="BE459" s="26"/>
      <c r="BF459" s="26"/>
      <c r="BG459" s="26"/>
      <c r="BH459" s="26"/>
      <c r="BI459" s="26"/>
      <c r="BJ459" s="26"/>
      <c r="BK459" s="27"/>
    </row>
    <row r="460" spans="2:63" ht="15.5">
      <c r="B460" s="25"/>
      <c r="C460" s="24"/>
      <c r="D460" s="24"/>
      <c r="E460" s="24"/>
      <c r="F460" s="24"/>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6"/>
      <c r="BC460" s="26"/>
      <c r="BD460" s="26"/>
      <c r="BE460" s="26"/>
      <c r="BF460" s="26"/>
      <c r="BG460" s="26"/>
      <c r="BH460" s="26"/>
      <c r="BI460" s="26"/>
      <c r="BJ460" s="26"/>
      <c r="BK460" s="27"/>
    </row>
    <row r="461" spans="2:63" ht="15.5">
      <c r="B461" s="25"/>
      <c r="C461" s="24"/>
      <c r="D461" s="24"/>
      <c r="E461" s="24"/>
      <c r="F461" s="24"/>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6"/>
      <c r="BC461" s="26"/>
      <c r="BD461" s="26"/>
      <c r="BE461" s="26"/>
      <c r="BF461" s="26"/>
      <c r="BG461" s="26"/>
      <c r="BH461" s="26"/>
      <c r="BI461" s="26"/>
      <c r="BJ461" s="26"/>
      <c r="BK461" s="27"/>
    </row>
    <row r="462" spans="2:63" ht="15.5">
      <c r="B462" s="25"/>
      <c r="C462" s="24"/>
      <c r="D462" s="24"/>
      <c r="E462" s="24"/>
      <c r="F462" s="24"/>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6"/>
      <c r="BC462" s="26"/>
      <c r="BD462" s="26"/>
      <c r="BE462" s="26"/>
      <c r="BF462" s="26"/>
      <c r="BG462" s="26"/>
      <c r="BH462" s="26"/>
      <c r="BI462" s="26"/>
      <c r="BJ462" s="26"/>
      <c r="BK462" s="27"/>
    </row>
    <row r="463" spans="2:63" ht="15.5">
      <c r="B463" s="25"/>
      <c r="C463" s="24"/>
      <c r="D463" s="24"/>
      <c r="E463" s="24"/>
      <c r="F463" s="24"/>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6"/>
      <c r="BC463" s="26"/>
      <c r="BD463" s="26"/>
      <c r="BE463" s="26"/>
      <c r="BF463" s="26"/>
      <c r="BG463" s="26"/>
      <c r="BH463" s="26"/>
      <c r="BI463" s="26"/>
      <c r="BJ463" s="26"/>
      <c r="BK463" s="27"/>
    </row>
    <row r="464" spans="2:63" ht="15.5">
      <c r="B464" s="25"/>
      <c r="C464" s="24"/>
      <c r="D464" s="24"/>
      <c r="E464" s="24"/>
      <c r="F464" s="24"/>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6"/>
      <c r="BC464" s="26"/>
      <c r="BD464" s="26"/>
      <c r="BE464" s="26"/>
      <c r="BF464" s="26"/>
      <c r="BG464" s="26"/>
      <c r="BH464" s="26"/>
      <c r="BI464" s="26"/>
      <c r="BJ464" s="26"/>
      <c r="BK464" s="27"/>
    </row>
    <row r="465" spans="2:63" ht="15.5">
      <c r="B465" s="25"/>
      <c r="C465" s="24"/>
      <c r="D465" s="24"/>
      <c r="E465" s="24"/>
      <c r="F465" s="24"/>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6"/>
      <c r="BC465" s="26"/>
      <c r="BD465" s="26"/>
      <c r="BE465" s="26"/>
      <c r="BF465" s="26"/>
      <c r="BG465" s="26"/>
      <c r="BH465" s="26"/>
      <c r="BI465" s="26"/>
      <c r="BJ465" s="26"/>
      <c r="BK465" s="27"/>
    </row>
    <row r="466" spans="2:63" ht="15.5">
      <c r="B466" s="25"/>
      <c r="C466" s="24"/>
      <c r="D466" s="24"/>
      <c r="E466" s="24"/>
      <c r="F466" s="24"/>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6"/>
      <c r="BC466" s="26"/>
      <c r="BD466" s="26"/>
      <c r="BE466" s="26"/>
      <c r="BF466" s="26"/>
      <c r="BG466" s="26"/>
      <c r="BH466" s="26"/>
      <c r="BI466" s="26"/>
      <c r="BJ466" s="26"/>
      <c r="BK466" s="27"/>
    </row>
    <row r="467" spans="2:63" ht="15.5">
      <c r="B467" s="25"/>
      <c r="C467" s="24"/>
      <c r="D467" s="24"/>
      <c r="E467" s="24"/>
      <c r="F467" s="24"/>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6"/>
      <c r="BC467" s="26"/>
      <c r="BD467" s="26"/>
      <c r="BE467" s="26"/>
      <c r="BF467" s="26"/>
      <c r="BG467" s="26"/>
      <c r="BH467" s="26"/>
      <c r="BI467" s="26"/>
      <c r="BJ467" s="26"/>
      <c r="BK467" s="27"/>
    </row>
    <row r="468" spans="2:63" ht="15.5">
      <c r="B468" s="25"/>
      <c r="C468" s="24"/>
      <c r="D468" s="24"/>
      <c r="E468" s="24"/>
      <c r="F468" s="24"/>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6"/>
      <c r="BC468" s="26"/>
      <c r="BD468" s="26"/>
      <c r="BE468" s="26"/>
      <c r="BF468" s="26"/>
      <c r="BG468" s="26"/>
      <c r="BH468" s="26"/>
      <c r="BI468" s="26"/>
      <c r="BJ468" s="26"/>
      <c r="BK468" s="27"/>
    </row>
    <row r="469" spans="2:63" ht="15.5">
      <c r="B469" s="25"/>
      <c r="C469" s="24"/>
      <c r="D469" s="24"/>
      <c r="E469" s="24"/>
      <c r="F469" s="24"/>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6"/>
      <c r="BC469" s="26"/>
      <c r="BD469" s="26"/>
      <c r="BE469" s="26"/>
      <c r="BF469" s="26"/>
      <c r="BG469" s="26"/>
      <c r="BH469" s="26"/>
      <c r="BI469" s="26"/>
      <c r="BJ469" s="26"/>
      <c r="BK469" s="27"/>
    </row>
    <row r="470" spans="2:63" ht="15.5">
      <c r="B470" s="25"/>
      <c r="C470" s="24"/>
      <c r="D470" s="24"/>
      <c r="E470" s="24"/>
      <c r="F470" s="24"/>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6"/>
      <c r="BC470" s="26"/>
      <c r="BD470" s="26"/>
      <c r="BE470" s="26"/>
      <c r="BF470" s="26"/>
      <c r="BG470" s="26"/>
      <c r="BH470" s="26"/>
      <c r="BI470" s="26"/>
      <c r="BJ470" s="26"/>
      <c r="BK470" s="27"/>
    </row>
    <row r="471" spans="2:63" ht="15.5">
      <c r="B471" s="25"/>
      <c r="C471" s="24"/>
      <c r="D471" s="24"/>
      <c r="E471" s="24"/>
      <c r="F471" s="24"/>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6"/>
      <c r="BC471" s="26"/>
      <c r="BD471" s="26"/>
      <c r="BE471" s="26"/>
      <c r="BF471" s="26"/>
      <c r="BG471" s="26"/>
      <c r="BH471" s="26"/>
      <c r="BI471" s="26"/>
      <c r="BJ471" s="26"/>
      <c r="BK471" s="27"/>
    </row>
    <row r="472" spans="2:63" ht="15.5">
      <c r="B472" s="25"/>
      <c r="C472" s="24"/>
      <c r="D472" s="24"/>
      <c r="E472" s="24"/>
      <c r="F472" s="24"/>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6"/>
      <c r="BC472" s="26"/>
      <c r="BD472" s="26"/>
      <c r="BE472" s="26"/>
      <c r="BF472" s="26"/>
      <c r="BG472" s="26"/>
      <c r="BH472" s="26"/>
      <c r="BI472" s="26"/>
      <c r="BJ472" s="26"/>
      <c r="BK472" s="27"/>
    </row>
    <row r="473" spans="2:63" ht="15.5">
      <c r="B473" s="25"/>
      <c r="C473" s="24"/>
      <c r="D473" s="24"/>
      <c r="E473" s="24"/>
      <c r="F473" s="24"/>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6"/>
      <c r="BC473" s="26"/>
      <c r="BD473" s="26"/>
      <c r="BE473" s="26"/>
      <c r="BF473" s="26"/>
      <c r="BG473" s="26"/>
      <c r="BH473" s="26"/>
      <c r="BI473" s="26"/>
      <c r="BJ473" s="26"/>
      <c r="BK473" s="27"/>
    </row>
    <row r="474" spans="2:63" ht="15.5">
      <c r="B474" s="25"/>
      <c r="C474" s="24"/>
      <c r="D474" s="24"/>
      <c r="E474" s="24"/>
      <c r="F474" s="24"/>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6"/>
      <c r="BC474" s="26"/>
      <c r="BD474" s="26"/>
      <c r="BE474" s="26"/>
      <c r="BF474" s="26"/>
      <c r="BG474" s="26"/>
      <c r="BH474" s="26"/>
      <c r="BI474" s="26"/>
      <c r="BJ474" s="26"/>
      <c r="BK474" s="27"/>
    </row>
    <row r="475" spans="2:63" ht="15.5">
      <c r="B475" s="25"/>
      <c r="C475" s="24"/>
      <c r="D475" s="24"/>
      <c r="E475" s="24"/>
      <c r="F475" s="24"/>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6"/>
      <c r="BC475" s="26"/>
      <c r="BD475" s="26"/>
      <c r="BE475" s="26"/>
      <c r="BF475" s="26"/>
      <c r="BG475" s="26"/>
      <c r="BH475" s="26"/>
      <c r="BI475" s="26"/>
      <c r="BJ475" s="26"/>
      <c r="BK475" s="27"/>
    </row>
    <row r="476" spans="2:63" ht="15.5">
      <c r="B476" s="25"/>
      <c r="C476" s="24"/>
      <c r="D476" s="24"/>
      <c r="E476" s="24"/>
      <c r="F476" s="24"/>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6"/>
      <c r="BC476" s="26"/>
      <c r="BD476" s="26"/>
      <c r="BE476" s="26"/>
      <c r="BF476" s="26"/>
      <c r="BG476" s="26"/>
      <c r="BH476" s="26"/>
      <c r="BI476" s="26"/>
      <c r="BJ476" s="26"/>
      <c r="BK476" s="27"/>
    </row>
    <row r="477" spans="2:63" ht="15.5">
      <c r="B477" s="25"/>
      <c r="C477" s="24"/>
      <c r="D477" s="24"/>
      <c r="E477" s="24"/>
      <c r="F477" s="24"/>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6"/>
      <c r="BC477" s="26"/>
      <c r="BD477" s="26"/>
      <c r="BE477" s="26"/>
      <c r="BF477" s="26"/>
      <c r="BG477" s="26"/>
      <c r="BH477" s="26"/>
      <c r="BI477" s="26"/>
      <c r="BJ477" s="26"/>
      <c r="BK477" s="27"/>
    </row>
    <row r="478" spans="2:63" ht="15.5">
      <c r="B478" s="25"/>
      <c r="C478" s="24"/>
      <c r="D478" s="24"/>
      <c r="E478" s="24"/>
      <c r="F478" s="24"/>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6"/>
      <c r="BC478" s="26"/>
      <c r="BD478" s="26"/>
      <c r="BE478" s="26"/>
      <c r="BF478" s="26"/>
      <c r="BG478" s="26"/>
      <c r="BH478" s="26"/>
      <c r="BI478" s="26"/>
      <c r="BJ478" s="26"/>
      <c r="BK478" s="27"/>
    </row>
    <row r="479" spans="2:63" ht="15.5">
      <c r="B479" s="25"/>
      <c r="C479" s="24"/>
      <c r="D479" s="24"/>
      <c r="E479" s="24"/>
      <c r="F479" s="24"/>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6"/>
      <c r="BC479" s="26"/>
      <c r="BD479" s="26"/>
      <c r="BE479" s="26"/>
      <c r="BF479" s="26"/>
      <c r="BG479" s="26"/>
      <c r="BH479" s="26"/>
      <c r="BI479" s="26"/>
      <c r="BJ479" s="26"/>
      <c r="BK479" s="27"/>
    </row>
    <row r="480" spans="2:63" ht="15.5">
      <c r="B480" s="25"/>
      <c r="C480" s="24"/>
      <c r="D480" s="24"/>
      <c r="E480" s="24"/>
      <c r="F480" s="24"/>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6"/>
      <c r="BC480" s="26"/>
      <c r="BD480" s="26"/>
      <c r="BE480" s="26"/>
      <c r="BF480" s="26"/>
      <c r="BG480" s="26"/>
      <c r="BH480" s="26"/>
      <c r="BI480" s="26"/>
      <c r="BJ480" s="26"/>
      <c r="BK480" s="27"/>
    </row>
    <row r="481" spans="2:63" ht="15.5">
      <c r="B481" s="25"/>
      <c r="C481" s="24"/>
      <c r="D481" s="24"/>
      <c r="E481" s="24"/>
      <c r="F481" s="24"/>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6"/>
      <c r="BC481" s="26"/>
      <c r="BD481" s="26"/>
      <c r="BE481" s="26"/>
      <c r="BF481" s="26"/>
      <c r="BG481" s="26"/>
      <c r="BH481" s="26"/>
      <c r="BI481" s="26"/>
      <c r="BJ481" s="26"/>
      <c r="BK481" s="27"/>
    </row>
    <row r="482" spans="2:63" ht="15.5">
      <c r="B482" s="25"/>
      <c r="C482" s="24"/>
      <c r="D482" s="24"/>
      <c r="E482" s="24"/>
      <c r="F482" s="24"/>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6"/>
      <c r="BC482" s="26"/>
      <c r="BD482" s="26"/>
      <c r="BE482" s="26"/>
      <c r="BF482" s="26"/>
      <c r="BG482" s="26"/>
      <c r="BH482" s="26"/>
      <c r="BI482" s="26"/>
      <c r="BJ482" s="26"/>
      <c r="BK482" s="27"/>
    </row>
    <row r="483" spans="2:63" ht="15.5">
      <c r="B483" s="25"/>
      <c r="C483" s="24"/>
      <c r="D483" s="24"/>
      <c r="E483" s="24"/>
      <c r="F483" s="24"/>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6"/>
      <c r="BC483" s="26"/>
      <c r="BD483" s="26"/>
      <c r="BE483" s="26"/>
      <c r="BF483" s="26"/>
      <c r="BG483" s="26"/>
      <c r="BH483" s="26"/>
      <c r="BI483" s="26"/>
      <c r="BJ483" s="26"/>
      <c r="BK483" s="27"/>
    </row>
    <row r="484" spans="2:63" ht="15.5">
      <c r="B484" s="25"/>
      <c r="C484" s="24"/>
      <c r="D484" s="24"/>
      <c r="E484" s="24"/>
      <c r="F484" s="24"/>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6"/>
      <c r="BC484" s="26"/>
      <c r="BD484" s="26"/>
      <c r="BE484" s="26"/>
      <c r="BF484" s="26"/>
      <c r="BG484" s="26"/>
      <c r="BH484" s="26"/>
      <c r="BI484" s="26"/>
      <c r="BJ484" s="26"/>
      <c r="BK484" s="27"/>
    </row>
    <row r="485" spans="2:63" ht="15.5">
      <c r="B485" s="25"/>
      <c r="C485" s="24"/>
      <c r="D485" s="24"/>
      <c r="E485" s="24"/>
      <c r="F485" s="24"/>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6"/>
      <c r="BC485" s="26"/>
      <c r="BD485" s="26"/>
      <c r="BE485" s="26"/>
      <c r="BF485" s="26"/>
      <c r="BG485" s="26"/>
      <c r="BH485" s="26"/>
      <c r="BI485" s="26"/>
      <c r="BJ485" s="26"/>
      <c r="BK485" s="27"/>
    </row>
    <row r="486" spans="2:63" ht="15.5">
      <c r="B486" s="25"/>
      <c r="C486" s="24"/>
      <c r="D486" s="24"/>
      <c r="E486" s="24"/>
      <c r="F486" s="24"/>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6"/>
      <c r="BC486" s="26"/>
      <c r="BD486" s="26"/>
      <c r="BE486" s="26"/>
      <c r="BF486" s="26"/>
      <c r="BG486" s="26"/>
      <c r="BH486" s="26"/>
      <c r="BI486" s="26"/>
      <c r="BJ486" s="26"/>
      <c r="BK486" s="27"/>
    </row>
    <row r="487" spans="2:63" ht="15.5">
      <c r="B487" s="25"/>
      <c r="C487" s="24"/>
      <c r="D487" s="24"/>
      <c r="E487" s="24"/>
      <c r="F487" s="24"/>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6"/>
      <c r="BC487" s="26"/>
      <c r="BD487" s="26"/>
      <c r="BE487" s="26"/>
      <c r="BF487" s="26"/>
      <c r="BG487" s="26"/>
      <c r="BH487" s="26"/>
      <c r="BI487" s="26"/>
      <c r="BJ487" s="26"/>
      <c r="BK487" s="27"/>
    </row>
    <row r="488" spans="2:63" ht="15.5">
      <c r="B488" s="25"/>
      <c r="C488" s="24"/>
      <c r="D488" s="24"/>
      <c r="E488" s="24"/>
      <c r="F488" s="24"/>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6"/>
      <c r="BC488" s="26"/>
      <c r="BD488" s="26"/>
      <c r="BE488" s="26"/>
      <c r="BF488" s="26"/>
      <c r="BG488" s="26"/>
      <c r="BH488" s="26"/>
      <c r="BI488" s="26"/>
      <c r="BJ488" s="26"/>
      <c r="BK488" s="27"/>
    </row>
    <row r="489" spans="2:63" ht="15.5">
      <c r="B489" s="25"/>
      <c r="C489" s="24"/>
      <c r="D489" s="24"/>
      <c r="E489" s="24"/>
      <c r="F489" s="24"/>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6"/>
      <c r="BC489" s="26"/>
      <c r="BD489" s="26"/>
      <c r="BE489" s="26"/>
      <c r="BF489" s="26"/>
      <c r="BG489" s="26"/>
      <c r="BH489" s="26"/>
      <c r="BI489" s="26"/>
      <c r="BJ489" s="26"/>
      <c r="BK489" s="27"/>
    </row>
    <row r="490" spans="2:63" ht="15.5">
      <c r="B490" s="25"/>
      <c r="C490" s="24"/>
      <c r="D490" s="24"/>
      <c r="E490" s="24"/>
      <c r="F490" s="24"/>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6"/>
      <c r="BC490" s="26"/>
      <c r="BD490" s="26"/>
      <c r="BE490" s="26"/>
      <c r="BF490" s="26"/>
      <c r="BG490" s="26"/>
      <c r="BH490" s="26"/>
      <c r="BI490" s="26"/>
      <c r="BJ490" s="26"/>
      <c r="BK490" s="27"/>
    </row>
    <row r="491" spans="2:63" ht="15.5">
      <c r="B491" s="25"/>
      <c r="C491" s="24"/>
      <c r="D491" s="24"/>
      <c r="E491" s="24"/>
      <c r="F491" s="24"/>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6"/>
      <c r="BC491" s="26"/>
      <c r="BD491" s="26"/>
      <c r="BE491" s="26"/>
      <c r="BF491" s="26"/>
      <c r="BG491" s="26"/>
      <c r="BH491" s="26"/>
      <c r="BI491" s="26"/>
      <c r="BJ491" s="26"/>
      <c r="BK491" s="27"/>
    </row>
    <row r="492" spans="2:63" ht="15.5">
      <c r="B492" s="25"/>
      <c r="C492" s="24"/>
      <c r="D492" s="24"/>
      <c r="E492" s="24"/>
      <c r="F492" s="24"/>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6"/>
      <c r="BC492" s="26"/>
      <c r="BD492" s="26"/>
      <c r="BE492" s="26"/>
      <c r="BF492" s="26"/>
      <c r="BG492" s="26"/>
      <c r="BH492" s="26"/>
      <c r="BI492" s="26"/>
      <c r="BJ492" s="26"/>
      <c r="BK492" s="27"/>
    </row>
    <row r="493" spans="2:63" ht="15.5">
      <c r="B493" s="25"/>
      <c r="C493" s="24"/>
      <c r="D493" s="24"/>
      <c r="E493" s="24"/>
      <c r="F493" s="24"/>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6"/>
      <c r="BC493" s="26"/>
      <c r="BD493" s="26"/>
      <c r="BE493" s="26"/>
      <c r="BF493" s="26"/>
      <c r="BG493" s="26"/>
      <c r="BH493" s="26"/>
      <c r="BI493" s="26"/>
      <c r="BJ493" s="26"/>
      <c r="BK493" s="27"/>
    </row>
    <row r="494" spans="2:63" ht="15.5">
      <c r="B494" s="25"/>
      <c r="C494" s="24"/>
      <c r="D494" s="24"/>
      <c r="E494" s="24"/>
      <c r="F494" s="24"/>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6"/>
      <c r="BC494" s="26"/>
      <c r="BD494" s="26"/>
      <c r="BE494" s="26"/>
      <c r="BF494" s="26"/>
      <c r="BG494" s="26"/>
      <c r="BH494" s="26"/>
      <c r="BI494" s="26"/>
      <c r="BJ494" s="26"/>
      <c r="BK494" s="27"/>
    </row>
    <row r="495" spans="2:63" ht="15.5">
      <c r="B495" s="25"/>
      <c r="C495" s="24"/>
      <c r="D495" s="24"/>
      <c r="E495" s="24"/>
      <c r="F495" s="24"/>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6"/>
      <c r="BC495" s="26"/>
      <c r="BD495" s="26"/>
      <c r="BE495" s="26"/>
      <c r="BF495" s="26"/>
      <c r="BG495" s="26"/>
      <c r="BH495" s="26"/>
      <c r="BI495" s="26"/>
      <c r="BJ495" s="26"/>
      <c r="BK495" s="27"/>
    </row>
    <row r="496" spans="2:63" ht="15.5">
      <c r="B496" s="25"/>
      <c r="C496" s="24"/>
      <c r="D496" s="24"/>
      <c r="E496" s="24"/>
      <c r="F496" s="24"/>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6"/>
      <c r="BC496" s="26"/>
      <c r="BD496" s="26"/>
      <c r="BE496" s="26"/>
      <c r="BF496" s="26"/>
      <c r="BG496" s="26"/>
      <c r="BH496" s="26"/>
      <c r="BI496" s="26"/>
      <c r="BJ496" s="26"/>
      <c r="BK496" s="27"/>
    </row>
    <row r="497" spans="2:63" ht="15.5">
      <c r="B497" s="25"/>
      <c r="C497" s="24"/>
      <c r="D497" s="24"/>
      <c r="E497" s="24"/>
      <c r="F497" s="24"/>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6"/>
      <c r="BC497" s="26"/>
      <c r="BD497" s="26"/>
      <c r="BE497" s="26"/>
      <c r="BF497" s="26"/>
      <c r="BG497" s="26"/>
      <c r="BH497" s="26"/>
      <c r="BI497" s="26"/>
      <c r="BJ497" s="26"/>
      <c r="BK497" s="27"/>
    </row>
    <row r="498" spans="2:63" ht="15.5">
      <c r="B498" s="25"/>
      <c r="C498" s="24"/>
      <c r="D498" s="24"/>
      <c r="E498" s="24"/>
      <c r="F498" s="24"/>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6"/>
      <c r="BC498" s="26"/>
      <c r="BD498" s="26"/>
      <c r="BE498" s="26"/>
      <c r="BF498" s="26"/>
      <c r="BG498" s="26"/>
      <c r="BH498" s="26"/>
      <c r="BI498" s="26"/>
      <c r="BJ498" s="26"/>
      <c r="BK498" s="27"/>
    </row>
    <row r="499" spans="2:63" ht="15.5">
      <c r="B499" s="25"/>
      <c r="C499" s="24"/>
      <c r="D499" s="24"/>
      <c r="E499" s="24"/>
      <c r="F499" s="24"/>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6"/>
      <c r="BC499" s="26"/>
      <c r="BD499" s="26"/>
      <c r="BE499" s="26"/>
      <c r="BF499" s="26"/>
      <c r="BG499" s="26"/>
      <c r="BH499" s="26"/>
      <c r="BI499" s="26"/>
      <c r="BJ499" s="26"/>
      <c r="BK499" s="27"/>
    </row>
    <row r="500" spans="2:63" ht="15.5">
      <c r="B500" s="25"/>
      <c r="C500" s="24"/>
      <c r="D500" s="24"/>
      <c r="E500" s="24"/>
      <c r="F500" s="24"/>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6"/>
      <c r="BC500" s="26"/>
      <c r="BD500" s="26"/>
      <c r="BE500" s="26"/>
      <c r="BF500" s="26"/>
      <c r="BG500" s="26"/>
      <c r="BH500" s="26"/>
      <c r="BI500" s="26"/>
      <c r="BJ500" s="26"/>
      <c r="BK500" s="27"/>
    </row>
    <row r="501" spans="2:63" ht="15.5">
      <c r="B501" s="25"/>
      <c r="C501" s="24"/>
      <c r="D501" s="24"/>
      <c r="E501" s="24"/>
      <c r="F501" s="24"/>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6"/>
      <c r="BC501" s="26"/>
      <c r="BD501" s="26"/>
      <c r="BE501" s="26"/>
      <c r="BF501" s="26"/>
      <c r="BG501" s="26"/>
      <c r="BH501" s="26"/>
      <c r="BI501" s="26"/>
      <c r="BJ501" s="26"/>
      <c r="BK501" s="27"/>
    </row>
    <row r="502" spans="2:63" ht="15.5">
      <c r="B502" s="25"/>
      <c r="C502" s="24"/>
      <c r="D502" s="24"/>
      <c r="E502" s="24"/>
      <c r="F502" s="24"/>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6"/>
      <c r="BC502" s="26"/>
      <c r="BD502" s="26"/>
      <c r="BE502" s="26"/>
      <c r="BF502" s="26"/>
      <c r="BG502" s="26"/>
      <c r="BH502" s="26"/>
      <c r="BI502" s="26"/>
      <c r="BJ502" s="26"/>
      <c r="BK502" s="27"/>
    </row>
    <row r="503" spans="2:63" ht="15.5">
      <c r="B503" s="25"/>
      <c r="C503" s="24"/>
      <c r="D503" s="24"/>
      <c r="E503" s="24"/>
      <c r="F503" s="24"/>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6"/>
      <c r="BC503" s="26"/>
      <c r="BD503" s="26"/>
      <c r="BE503" s="26"/>
      <c r="BF503" s="26"/>
      <c r="BG503" s="26"/>
      <c r="BH503" s="26"/>
      <c r="BI503" s="26"/>
      <c r="BJ503" s="26"/>
      <c r="BK503" s="27"/>
    </row>
    <row r="504" spans="2:63" ht="15.5">
      <c r="B504" s="25"/>
      <c r="C504" s="24"/>
      <c r="D504" s="24"/>
      <c r="E504" s="24"/>
      <c r="F504" s="24"/>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6"/>
      <c r="BC504" s="26"/>
      <c r="BD504" s="26"/>
      <c r="BE504" s="26"/>
      <c r="BF504" s="26"/>
      <c r="BG504" s="26"/>
      <c r="BH504" s="26"/>
      <c r="BI504" s="26"/>
      <c r="BJ504" s="26"/>
      <c r="BK504" s="27"/>
    </row>
    <row r="505" spans="2:63" ht="15.5">
      <c r="B505" s="25"/>
      <c r="C505" s="24"/>
      <c r="D505" s="24"/>
      <c r="E505" s="24"/>
      <c r="F505" s="24"/>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6"/>
      <c r="BC505" s="26"/>
      <c r="BD505" s="26"/>
      <c r="BE505" s="26"/>
      <c r="BF505" s="26"/>
      <c r="BG505" s="26"/>
      <c r="BH505" s="26"/>
      <c r="BI505" s="26"/>
      <c r="BJ505" s="26"/>
      <c r="BK505" s="27"/>
    </row>
    <row r="506" spans="2:63" ht="15.5">
      <c r="B506" s="25"/>
      <c r="C506" s="24"/>
      <c r="D506" s="24"/>
      <c r="E506" s="24"/>
      <c r="F506" s="24"/>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6"/>
      <c r="BC506" s="26"/>
      <c r="BD506" s="26"/>
      <c r="BE506" s="26"/>
      <c r="BF506" s="26"/>
      <c r="BG506" s="26"/>
      <c r="BH506" s="26"/>
      <c r="BI506" s="26"/>
      <c r="BJ506" s="26"/>
      <c r="BK506" s="27"/>
    </row>
    <row r="507" spans="2:63" ht="15.5">
      <c r="B507" s="25"/>
      <c r="C507" s="24"/>
      <c r="D507" s="24"/>
      <c r="E507" s="24"/>
      <c r="F507" s="24"/>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6"/>
      <c r="BC507" s="26"/>
      <c r="BD507" s="26"/>
      <c r="BE507" s="26"/>
      <c r="BF507" s="26"/>
      <c r="BG507" s="26"/>
      <c r="BH507" s="26"/>
      <c r="BI507" s="26"/>
      <c r="BJ507" s="26"/>
      <c r="BK507" s="27"/>
    </row>
    <row r="508" spans="2:63" ht="15.5">
      <c r="B508" s="25"/>
      <c r="C508" s="24"/>
      <c r="D508" s="24"/>
      <c r="E508" s="24"/>
      <c r="F508" s="24"/>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6"/>
      <c r="BC508" s="26"/>
      <c r="BD508" s="26"/>
      <c r="BE508" s="26"/>
      <c r="BF508" s="26"/>
      <c r="BG508" s="26"/>
      <c r="BH508" s="26"/>
      <c r="BI508" s="26"/>
      <c r="BJ508" s="26"/>
      <c r="BK508" s="27"/>
    </row>
    <row r="509" spans="2:63" ht="15.5">
      <c r="B509" s="25"/>
      <c r="C509" s="24"/>
      <c r="D509" s="24"/>
      <c r="E509" s="24"/>
      <c r="F509" s="24"/>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6"/>
      <c r="BC509" s="26"/>
      <c r="BD509" s="26"/>
      <c r="BE509" s="26"/>
      <c r="BF509" s="26"/>
      <c r="BG509" s="26"/>
      <c r="BH509" s="26"/>
      <c r="BI509" s="26"/>
      <c r="BJ509" s="26"/>
      <c r="BK509" s="27"/>
    </row>
    <row r="510" spans="2:63" ht="15.5">
      <c r="B510" s="25"/>
      <c r="C510" s="24"/>
      <c r="D510" s="24"/>
      <c r="E510" s="24"/>
      <c r="F510" s="24"/>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6"/>
      <c r="BC510" s="26"/>
      <c r="BD510" s="26"/>
      <c r="BE510" s="26"/>
      <c r="BF510" s="26"/>
      <c r="BG510" s="26"/>
      <c r="BH510" s="26"/>
      <c r="BI510" s="26"/>
      <c r="BJ510" s="26"/>
      <c r="BK510" s="27"/>
    </row>
    <row r="511" spans="2:63" ht="15.5">
      <c r="B511" s="25"/>
      <c r="C511" s="24"/>
      <c r="D511" s="24"/>
      <c r="E511" s="24"/>
      <c r="F511" s="24"/>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6"/>
      <c r="BC511" s="26"/>
      <c r="BD511" s="26"/>
      <c r="BE511" s="26"/>
      <c r="BF511" s="26"/>
      <c r="BG511" s="26"/>
      <c r="BH511" s="26"/>
      <c r="BI511" s="26"/>
      <c r="BJ511" s="26"/>
      <c r="BK511" s="27"/>
    </row>
    <row r="512" spans="2:63" ht="15.5">
      <c r="B512" s="25"/>
      <c r="C512" s="24"/>
      <c r="D512" s="24"/>
      <c r="E512" s="24"/>
      <c r="F512" s="24"/>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6"/>
      <c r="BC512" s="26"/>
      <c r="BD512" s="26"/>
      <c r="BE512" s="26"/>
      <c r="BF512" s="26"/>
      <c r="BG512" s="26"/>
      <c r="BH512" s="26"/>
      <c r="BI512" s="26"/>
      <c r="BJ512" s="26"/>
      <c r="BK512" s="27"/>
    </row>
    <row r="513" spans="2:63" ht="15.5">
      <c r="B513" s="25"/>
      <c r="C513" s="24"/>
      <c r="D513" s="24"/>
      <c r="E513" s="24"/>
      <c r="F513" s="24"/>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6"/>
      <c r="BC513" s="26"/>
      <c r="BD513" s="26"/>
      <c r="BE513" s="26"/>
      <c r="BF513" s="26"/>
      <c r="BG513" s="26"/>
      <c r="BH513" s="26"/>
      <c r="BI513" s="26"/>
      <c r="BJ513" s="26"/>
      <c r="BK513" s="27"/>
    </row>
    <row r="514" spans="2:63" ht="15.5">
      <c r="B514" s="25"/>
      <c r="C514" s="24"/>
      <c r="D514" s="24"/>
      <c r="E514" s="24"/>
      <c r="F514" s="24"/>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6"/>
      <c r="BC514" s="26"/>
      <c r="BD514" s="26"/>
      <c r="BE514" s="26"/>
      <c r="BF514" s="26"/>
      <c r="BG514" s="26"/>
      <c r="BH514" s="26"/>
      <c r="BI514" s="26"/>
      <c r="BJ514" s="26"/>
      <c r="BK514" s="27"/>
    </row>
    <row r="515" spans="2:63" ht="15.5">
      <c r="B515" s="25"/>
      <c r="C515" s="24"/>
      <c r="D515" s="24"/>
      <c r="E515" s="24"/>
      <c r="F515" s="24"/>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6"/>
      <c r="BC515" s="26"/>
      <c r="BD515" s="26"/>
      <c r="BE515" s="26"/>
      <c r="BF515" s="26"/>
      <c r="BG515" s="26"/>
      <c r="BH515" s="26"/>
      <c r="BI515" s="26"/>
      <c r="BJ515" s="26"/>
      <c r="BK515" s="27"/>
    </row>
    <row r="516" spans="2:63" ht="15.5">
      <c r="B516" s="25"/>
      <c r="C516" s="24"/>
      <c r="D516" s="24"/>
      <c r="E516" s="24"/>
      <c r="F516" s="24"/>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6"/>
      <c r="BC516" s="26"/>
      <c r="BD516" s="26"/>
      <c r="BE516" s="26"/>
      <c r="BF516" s="26"/>
      <c r="BG516" s="26"/>
      <c r="BH516" s="26"/>
      <c r="BI516" s="26"/>
      <c r="BJ516" s="26"/>
      <c r="BK516" s="27"/>
    </row>
    <row r="517" spans="2:63" ht="15.5">
      <c r="B517" s="25"/>
      <c r="C517" s="24"/>
      <c r="D517" s="24"/>
      <c r="E517" s="24"/>
      <c r="F517" s="24"/>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6"/>
      <c r="BC517" s="26"/>
      <c r="BD517" s="26"/>
      <c r="BE517" s="26"/>
      <c r="BF517" s="26"/>
      <c r="BG517" s="26"/>
      <c r="BH517" s="26"/>
      <c r="BI517" s="26"/>
      <c r="BJ517" s="26"/>
      <c r="BK517" s="27"/>
    </row>
    <row r="518" spans="2:63" ht="15.5">
      <c r="B518" s="25"/>
      <c r="C518" s="24"/>
      <c r="D518" s="24"/>
      <c r="E518" s="24"/>
      <c r="F518" s="24"/>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6"/>
      <c r="BC518" s="26"/>
      <c r="BD518" s="26"/>
      <c r="BE518" s="26"/>
      <c r="BF518" s="26"/>
      <c r="BG518" s="26"/>
      <c r="BH518" s="26"/>
      <c r="BI518" s="26"/>
      <c r="BJ518" s="26"/>
      <c r="BK518" s="27"/>
    </row>
    <row r="519" spans="2:63" ht="15.5">
      <c r="B519" s="25"/>
      <c r="C519" s="24"/>
      <c r="D519" s="24"/>
      <c r="E519" s="24"/>
      <c r="F519" s="24"/>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6"/>
      <c r="BC519" s="26"/>
      <c r="BD519" s="26"/>
      <c r="BE519" s="26"/>
      <c r="BF519" s="26"/>
      <c r="BG519" s="26"/>
      <c r="BH519" s="26"/>
      <c r="BI519" s="26"/>
      <c r="BJ519" s="26"/>
      <c r="BK519" s="27"/>
    </row>
    <row r="520" spans="2:63" ht="15.5">
      <c r="B520" s="25"/>
      <c r="C520" s="24"/>
      <c r="D520" s="24"/>
      <c r="E520" s="24"/>
      <c r="F520" s="24"/>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6"/>
      <c r="BC520" s="26"/>
      <c r="BD520" s="26"/>
      <c r="BE520" s="26"/>
      <c r="BF520" s="26"/>
      <c r="BG520" s="26"/>
      <c r="BH520" s="26"/>
      <c r="BI520" s="26"/>
      <c r="BJ520" s="26"/>
      <c r="BK520" s="27"/>
    </row>
    <row r="521" spans="2:63" ht="15.5">
      <c r="B521" s="25"/>
      <c r="C521" s="24"/>
      <c r="D521" s="24"/>
      <c r="E521" s="24"/>
      <c r="F521" s="24"/>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6"/>
      <c r="BC521" s="26"/>
      <c r="BD521" s="26"/>
      <c r="BE521" s="26"/>
      <c r="BF521" s="26"/>
      <c r="BG521" s="26"/>
      <c r="BH521" s="26"/>
      <c r="BI521" s="26"/>
      <c r="BJ521" s="26"/>
      <c r="BK521" s="27"/>
    </row>
    <row r="522" spans="2:63" ht="15.5">
      <c r="B522" s="25"/>
      <c r="C522" s="24"/>
      <c r="D522" s="24"/>
      <c r="E522" s="24"/>
      <c r="F522" s="24"/>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6"/>
      <c r="BC522" s="26"/>
      <c r="BD522" s="26"/>
      <c r="BE522" s="26"/>
      <c r="BF522" s="26"/>
      <c r="BG522" s="26"/>
      <c r="BH522" s="26"/>
      <c r="BI522" s="26"/>
      <c r="BJ522" s="26"/>
      <c r="BK522" s="27"/>
    </row>
    <row r="523" spans="2:63" ht="15.5">
      <c r="B523" s="25"/>
      <c r="C523" s="24"/>
      <c r="D523" s="24"/>
      <c r="E523" s="24"/>
      <c r="F523" s="24"/>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6"/>
      <c r="BC523" s="26"/>
      <c r="BD523" s="26"/>
      <c r="BE523" s="26"/>
      <c r="BF523" s="26"/>
      <c r="BG523" s="26"/>
      <c r="BH523" s="26"/>
      <c r="BI523" s="26"/>
      <c r="BJ523" s="26"/>
      <c r="BK523" s="27"/>
    </row>
    <row r="524" spans="2:63" ht="15.5">
      <c r="B524" s="25"/>
      <c r="C524" s="24"/>
      <c r="D524" s="24"/>
      <c r="E524" s="24"/>
      <c r="F524" s="24"/>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6"/>
      <c r="BC524" s="26"/>
      <c r="BD524" s="26"/>
      <c r="BE524" s="26"/>
      <c r="BF524" s="26"/>
      <c r="BG524" s="26"/>
      <c r="BH524" s="26"/>
      <c r="BI524" s="26"/>
      <c r="BJ524" s="26"/>
      <c r="BK524" s="27"/>
    </row>
    <row r="525" spans="2:63" ht="15.5">
      <c r="B525" s="25"/>
      <c r="C525" s="24"/>
      <c r="D525" s="24"/>
      <c r="E525" s="24"/>
      <c r="F525" s="24"/>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6"/>
      <c r="BC525" s="26"/>
      <c r="BD525" s="26"/>
      <c r="BE525" s="26"/>
      <c r="BF525" s="26"/>
      <c r="BG525" s="26"/>
      <c r="BH525" s="26"/>
      <c r="BI525" s="26"/>
      <c r="BJ525" s="26"/>
      <c r="BK525" s="27"/>
    </row>
    <row r="526" spans="2:63" ht="15.5">
      <c r="B526" s="25"/>
      <c r="C526" s="24"/>
      <c r="D526" s="24"/>
      <c r="E526" s="24"/>
      <c r="F526" s="24"/>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6"/>
      <c r="BC526" s="26"/>
      <c r="BD526" s="26"/>
      <c r="BE526" s="26"/>
      <c r="BF526" s="26"/>
      <c r="BG526" s="26"/>
      <c r="BH526" s="26"/>
      <c r="BI526" s="26"/>
      <c r="BJ526" s="26"/>
      <c r="BK526" s="27"/>
    </row>
    <row r="527" spans="2:63" ht="15.5">
      <c r="B527" s="25"/>
      <c r="C527" s="24"/>
      <c r="D527" s="24"/>
      <c r="E527" s="24"/>
      <c r="F527" s="24"/>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6"/>
      <c r="BC527" s="26"/>
      <c r="BD527" s="26"/>
      <c r="BE527" s="26"/>
      <c r="BF527" s="26"/>
      <c r="BG527" s="26"/>
      <c r="BH527" s="26"/>
      <c r="BI527" s="26"/>
      <c r="BJ527" s="26"/>
      <c r="BK527" s="27"/>
    </row>
    <row r="528" spans="2:63" ht="15.5">
      <c r="B528" s="25"/>
      <c r="C528" s="24"/>
      <c r="D528" s="24"/>
      <c r="E528" s="24"/>
      <c r="F528" s="24"/>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6"/>
      <c r="BC528" s="26"/>
      <c r="BD528" s="26"/>
      <c r="BE528" s="26"/>
      <c r="BF528" s="26"/>
      <c r="BG528" s="26"/>
      <c r="BH528" s="26"/>
      <c r="BI528" s="26"/>
      <c r="BJ528" s="26"/>
      <c r="BK528" s="27"/>
    </row>
    <row r="529" spans="2:63" ht="15.5">
      <c r="B529" s="25"/>
      <c r="C529" s="24"/>
      <c r="D529" s="24"/>
      <c r="E529" s="24"/>
      <c r="F529" s="24"/>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6"/>
      <c r="BC529" s="26"/>
      <c r="BD529" s="26"/>
      <c r="BE529" s="26"/>
      <c r="BF529" s="26"/>
      <c r="BG529" s="26"/>
      <c r="BH529" s="26"/>
      <c r="BI529" s="26"/>
      <c r="BJ529" s="26"/>
      <c r="BK529" s="27"/>
    </row>
    <row r="530" spans="2:63" ht="15.5">
      <c r="B530" s="25"/>
      <c r="C530" s="24"/>
      <c r="D530" s="24"/>
      <c r="E530" s="24"/>
      <c r="F530" s="24"/>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6"/>
      <c r="BC530" s="26"/>
      <c r="BD530" s="26"/>
      <c r="BE530" s="26"/>
      <c r="BF530" s="26"/>
      <c r="BG530" s="26"/>
      <c r="BH530" s="26"/>
      <c r="BI530" s="26"/>
      <c r="BJ530" s="26"/>
      <c r="BK530" s="27"/>
    </row>
    <row r="531" spans="2:63" ht="15.5">
      <c r="B531" s="25"/>
      <c r="C531" s="24"/>
      <c r="D531" s="24"/>
      <c r="E531" s="24"/>
      <c r="F531" s="24"/>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6"/>
      <c r="BC531" s="26"/>
      <c r="BD531" s="26"/>
      <c r="BE531" s="26"/>
      <c r="BF531" s="26"/>
      <c r="BG531" s="26"/>
      <c r="BH531" s="26"/>
      <c r="BI531" s="26"/>
      <c r="BJ531" s="26"/>
      <c r="BK531" s="27"/>
    </row>
    <row r="532" spans="2:63" ht="15.5">
      <c r="B532" s="25"/>
      <c r="C532" s="24"/>
      <c r="D532" s="24"/>
      <c r="E532" s="24"/>
      <c r="F532" s="24"/>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6"/>
      <c r="BC532" s="26"/>
      <c r="BD532" s="26"/>
      <c r="BE532" s="26"/>
      <c r="BF532" s="26"/>
      <c r="BG532" s="26"/>
      <c r="BH532" s="26"/>
      <c r="BI532" s="26"/>
      <c r="BJ532" s="26"/>
      <c r="BK532" s="27"/>
    </row>
    <row r="533" spans="2:63" ht="15.5">
      <c r="B533" s="25"/>
      <c r="C533" s="24"/>
      <c r="D533" s="24"/>
      <c r="E533" s="24"/>
      <c r="F533" s="24"/>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6"/>
      <c r="BC533" s="26"/>
      <c r="BD533" s="26"/>
      <c r="BE533" s="26"/>
      <c r="BF533" s="26"/>
      <c r="BG533" s="26"/>
      <c r="BH533" s="26"/>
      <c r="BI533" s="26"/>
      <c r="BJ533" s="26"/>
      <c r="BK533" s="27"/>
    </row>
    <row r="534" spans="2:63" ht="15.5">
      <c r="B534" s="25"/>
      <c r="C534" s="24"/>
      <c r="D534" s="24"/>
      <c r="E534" s="24"/>
      <c r="F534" s="24"/>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6"/>
      <c r="BC534" s="26"/>
      <c r="BD534" s="26"/>
      <c r="BE534" s="26"/>
      <c r="BF534" s="26"/>
      <c r="BG534" s="26"/>
      <c r="BH534" s="26"/>
      <c r="BI534" s="26"/>
      <c r="BJ534" s="26"/>
      <c r="BK534" s="27"/>
    </row>
    <row r="535" spans="2:63" ht="15.5">
      <c r="B535" s="25"/>
      <c r="C535" s="24"/>
      <c r="D535" s="24"/>
      <c r="E535" s="24"/>
      <c r="F535" s="24"/>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6"/>
      <c r="BC535" s="26"/>
      <c r="BD535" s="26"/>
      <c r="BE535" s="26"/>
      <c r="BF535" s="26"/>
      <c r="BG535" s="26"/>
      <c r="BH535" s="26"/>
      <c r="BI535" s="26"/>
      <c r="BJ535" s="26"/>
      <c r="BK535" s="27"/>
    </row>
    <row r="536" spans="2:63" ht="15.5">
      <c r="B536" s="25"/>
      <c r="C536" s="24"/>
      <c r="D536" s="24"/>
      <c r="E536" s="24"/>
      <c r="F536" s="24"/>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6"/>
      <c r="BC536" s="26"/>
      <c r="BD536" s="26"/>
      <c r="BE536" s="26"/>
      <c r="BF536" s="26"/>
      <c r="BG536" s="26"/>
      <c r="BH536" s="26"/>
      <c r="BI536" s="26"/>
      <c r="BJ536" s="26"/>
      <c r="BK536" s="27"/>
    </row>
    <row r="537" spans="2:63" ht="15.5">
      <c r="B537" s="25"/>
      <c r="C537" s="24"/>
      <c r="D537" s="24"/>
      <c r="E537" s="24"/>
      <c r="F537" s="24"/>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6"/>
      <c r="BC537" s="26"/>
      <c r="BD537" s="26"/>
      <c r="BE537" s="26"/>
      <c r="BF537" s="26"/>
      <c r="BG537" s="26"/>
      <c r="BH537" s="26"/>
      <c r="BI537" s="26"/>
      <c r="BJ537" s="26"/>
      <c r="BK537" s="27"/>
    </row>
    <row r="538" spans="2:63" ht="15.5">
      <c r="B538" s="25"/>
      <c r="C538" s="24"/>
      <c r="D538" s="24"/>
      <c r="E538" s="24"/>
      <c r="F538" s="24"/>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6"/>
      <c r="BC538" s="26"/>
      <c r="BD538" s="26"/>
      <c r="BE538" s="26"/>
      <c r="BF538" s="26"/>
      <c r="BG538" s="26"/>
      <c r="BH538" s="26"/>
      <c r="BI538" s="26"/>
      <c r="BJ538" s="26"/>
      <c r="BK538" s="27"/>
    </row>
    <row r="539" spans="2:63" ht="15.5">
      <c r="B539" s="25"/>
      <c r="C539" s="24"/>
      <c r="D539" s="24"/>
      <c r="E539" s="24"/>
      <c r="F539" s="24"/>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6"/>
      <c r="BC539" s="26"/>
      <c r="BD539" s="26"/>
      <c r="BE539" s="26"/>
      <c r="BF539" s="26"/>
      <c r="BG539" s="26"/>
      <c r="BH539" s="26"/>
      <c r="BI539" s="26"/>
      <c r="BJ539" s="26"/>
      <c r="BK539" s="27"/>
    </row>
    <row r="540" spans="2:63" ht="15.5">
      <c r="B540" s="25"/>
      <c r="C540" s="24"/>
      <c r="D540" s="24"/>
      <c r="E540" s="24"/>
      <c r="F540" s="24"/>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6"/>
      <c r="BC540" s="26"/>
      <c r="BD540" s="26"/>
      <c r="BE540" s="26"/>
      <c r="BF540" s="26"/>
      <c r="BG540" s="26"/>
      <c r="BH540" s="26"/>
      <c r="BI540" s="26"/>
      <c r="BJ540" s="26"/>
      <c r="BK540" s="27"/>
    </row>
    <row r="541" spans="2:63" ht="15.5">
      <c r="B541" s="25"/>
      <c r="C541" s="24"/>
      <c r="D541" s="24"/>
      <c r="E541" s="24"/>
      <c r="F541" s="24"/>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6"/>
      <c r="BC541" s="26"/>
      <c r="BD541" s="26"/>
      <c r="BE541" s="26"/>
      <c r="BF541" s="26"/>
      <c r="BG541" s="26"/>
      <c r="BH541" s="26"/>
      <c r="BI541" s="26"/>
      <c r="BJ541" s="26"/>
      <c r="BK541" s="27"/>
    </row>
    <row r="542" spans="2:63" ht="15.5">
      <c r="B542" s="25"/>
      <c r="C542" s="24"/>
      <c r="D542" s="24"/>
      <c r="E542" s="24"/>
      <c r="F542" s="24"/>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6"/>
      <c r="BC542" s="26"/>
      <c r="BD542" s="26"/>
      <c r="BE542" s="26"/>
      <c r="BF542" s="26"/>
      <c r="BG542" s="26"/>
      <c r="BH542" s="26"/>
      <c r="BI542" s="26"/>
      <c r="BJ542" s="26"/>
      <c r="BK542" s="27"/>
    </row>
    <row r="543" spans="2:63" ht="15.5">
      <c r="B543" s="25"/>
      <c r="C543" s="24"/>
      <c r="D543" s="24"/>
      <c r="E543" s="24"/>
      <c r="F543" s="24"/>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6"/>
      <c r="BC543" s="26"/>
      <c r="BD543" s="26"/>
      <c r="BE543" s="26"/>
      <c r="BF543" s="26"/>
      <c r="BG543" s="26"/>
      <c r="BH543" s="26"/>
      <c r="BI543" s="26"/>
      <c r="BJ543" s="26"/>
      <c r="BK543" s="27"/>
    </row>
    <row r="544" spans="2:63" ht="15.5">
      <c r="B544" s="25"/>
      <c r="C544" s="24"/>
      <c r="D544" s="24"/>
      <c r="E544" s="24"/>
      <c r="F544" s="24"/>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6"/>
      <c r="BC544" s="26"/>
      <c r="BD544" s="26"/>
      <c r="BE544" s="26"/>
      <c r="BF544" s="26"/>
      <c r="BG544" s="26"/>
      <c r="BH544" s="26"/>
      <c r="BI544" s="26"/>
      <c r="BJ544" s="26"/>
      <c r="BK544" s="27"/>
    </row>
    <row r="545" spans="2:63" ht="15.5">
      <c r="B545" s="25"/>
      <c r="C545" s="24"/>
      <c r="D545" s="24"/>
      <c r="E545" s="24"/>
      <c r="F545" s="24"/>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6"/>
      <c r="BC545" s="26"/>
      <c r="BD545" s="26"/>
      <c r="BE545" s="26"/>
      <c r="BF545" s="26"/>
      <c r="BG545" s="26"/>
      <c r="BH545" s="26"/>
      <c r="BI545" s="26"/>
      <c r="BJ545" s="26"/>
      <c r="BK545" s="27"/>
    </row>
    <row r="546" spans="2:63" ht="15.5">
      <c r="B546" s="25"/>
      <c r="C546" s="24"/>
      <c r="D546" s="24"/>
      <c r="E546" s="24"/>
      <c r="F546" s="24"/>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6"/>
      <c r="BC546" s="26"/>
      <c r="BD546" s="26"/>
      <c r="BE546" s="26"/>
      <c r="BF546" s="26"/>
      <c r="BG546" s="26"/>
      <c r="BH546" s="26"/>
      <c r="BI546" s="26"/>
      <c r="BJ546" s="26"/>
      <c r="BK546" s="27"/>
    </row>
    <row r="547" spans="2:63" ht="15.5">
      <c r="B547" s="25"/>
      <c r="C547" s="24"/>
      <c r="D547" s="24"/>
      <c r="E547" s="24"/>
      <c r="F547" s="24"/>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6"/>
      <c r="BC547" s="26"/>
      <c r="BD547" s="26"/>
      <c r="BE547" s="26"/>
      <c r="BF547" s="26"/>
      <c r="BG547" s="26"/>
      <c r="BH547" s="26"/>
      <c r="BI547" s="26"/>
      <c r="BJ547" s="26"/>
      <c r="BK547" s="27"/>
    </row>
    <row r="548" spans="2:63" ht="15.5">
      <c r="B548" s="25"/>
      <c r="C548" s="24"/>
      <c r="D548" s="24"/>
      <c r="E548" s="24"/>
      <c r="F548" s="24"/>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6"/>
      <c r="BC548" s="26"/>
      <c r="BD548" s="26"/>
      <c r="BE548" s="26"/>
      <c r="BF548" s="26"/>
      <c r="BG548" s="26"/>
      <c r="BH548" s="26"/>
      <c r="BI548" s="26"/>
      <c r="BJ548" s="26"/>
      <c r="BK548" s="27"/>
    </row>
    <row r="549" spans="2:63" ht="15.5">
      <c r="B549" s="25"/>
      <c r="C549" s="24"/>
      <c r="D549" s="24"/>
      <c r="E549" s="24"/>
      <c r="F549" s="24"/>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6"/>
      <c r="BC549" s="26"/>
      <c r="BD549" s="26"/>
      <c r="BE549" s="26"/>
      <c r="BF549" s="26"/>
      <c r="BG549" s="26"/>
      <c r="BH549" s="26"/>
      <c r="BI549" s="26"/>
      <c r="BJ549" s="26"/>
      <c r="BK549" s="27"/>
    </row>
    <row r="550" spans="2:63" ht="15.5">
      <c r="B550" s="25"/>
      <c r="C550" s="24"/>
      <c r="D550" s="24"/>
      <c r="E550" s="24"/>
      <c r="F550" s="24"/>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6"/>
      <c r="BC550" s="26"/>
      <c r="BD550" s="26"/>
      <c r="BE550" s="26"/>
      <c r="BF550" s="26"/>
      <c r="BG550" s="26"/>
      <c r="BH550" s="26"/>
      <c r="BI550" s="26"/>
      <c r="BJ550" s="26"/>
      <c r="BK550" s="27"/>
    </row>
    <row r="551" spans="2:63" ht="15.5">
      <c r="B551" s="25"/>
      <c r="C551" s="24"/>
      <c r="D551" s="24"/>
      <c r="E551" s="24"/>
      <c r="F551" s="24"/>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6"/>
      <c r="BC551" s="26"/>
      <c r="BD551" s="26"/>
      <c r="BE551" s="26"/>
      <c r="BF551" s="26"/>
      <c r="BG551" s="26"/>
      <c r="BH551" s="26"/>
      <c r="BI551" s="26"/>
      <c r="BJ551" s="26"/>
      <c r="BK551" s="27"/>
    </row>
    <row r="552" spans="2:63" ht="15.5">
      <c r="B552" s="25"/>
      <c r="C552" s="24"/>
      <c r="D552" s="24"/>
      <c r="E552" s="24"/>
      <c r="F552" s="24"/>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6"/>
      <c r="BC552" s="26"/>
      <c r="BD552" s="26"/>
      <c r="BE552" s="26"/>
      <c r="BF552" s="26"/>
      <c r="BG552" s="26"/>
      <c r="BH552" s="26"/>
      <c r="BI552" s="26"/>
      <c r="BJ552" s="26"/>
      <c r="BK552" s="27"/>
    </row>
    <row r="553" spans="2:63" ht="15.5">
      <c r="B553" s="25"/>
      <c r="C553" s="24"/>
      <c r="D553" s="24"/>
      <c r="E553" s="24"/>
      <c r="F553" s="24"/>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6"/>
      <c r="BC553" s="26"/>
      <c r="BD553" s="26"/>
      <c r="BE553" s="26"/>
      <c r="BF553" s="26"/>
      <c r="BG553" s="26"/>
      <c r="BH553" s="26"/>
      <c r="BI553" s="26"/>
      <c r="BJ553" s="26"/>
      <c r="BK553" s="27"/>
    </row>
    <row r="554" spans="2:63" ht="15.5">
      <c r="B554" s="25"/>
      <c r="C554" s="24"/>
      <c r="D554" s="24"/>
      <c r="E554" s="24"/>
      <c r="F554" s="24"/>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6"/>
      <c r="BC554" s="26"/>
      <c r="BD554" s="26"/>
      <c r="BE554" s="26"/>
      <c r="BF554" s="26"/>
      <c r="BG554" s="26"/>
      <c r="BH554" s="26"/>
      <c r="BI554" s="26"/>
      <c r="BJ554" s="26"/>
      <c r="BK554" s="27"/>
    </row>
    <row r="555" spans="2:63" ht="15.5">
      <c r="B555" s="25"/>
      <c r="C555" s="24"/>
      <c r="D555" s="24"/>
      <c r="E555" s="24"/>
      <c r="F555" s="24"/>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6"/>
      <c r="BC555" s="26"/>
      <c r="BD555" s="26"/>
      <c r="BE555" s="26"/>
      <c r="BF555" s="26"/>
      <c r="BG555" s="26"/>
      <c r="BH555" s="26"/>
      <c r="BI555" s="26"/>
      <c r="BJ555" s="26"/>
      <c r="BK555" s="27"/>
    </row>
    <row r="556" spans="2:63" ht="15.5">
      <c r="B556" s="25"/>
      <c r="C556" s="24"/>
      <c r="D556" s="24"/>
      <c r="E556" s="24"/>
      <c r="F556" s="24"/>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6"/>
      <c r="BC556" s="26"/>
      <c r="BD556" s="26"/>
      <c r="BE556" s="26"/>
      <c r="BF556" s="26"/>
      <c r="BG556" s="26"/>
      <c r="BH556" s="26"/>
      <c r="BI556" s="26"/>
      <c r="BJ556" s="26"/>
      <c r="BK556" s="27"/>
    </row>
    <row r="557" spans="2:63" ht="15.5">
      <c r="B557" s="25"/>
      <c r="C557" s="24"/>
      <c r="D557" s="24"/>
      <c r="E557" s="24"/>
      <c r="F557" s="24"/>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6"/>
      <c r="BC557" s="26"/>
      <c r="BD557" s="26"/>
      <c r="BE557" s="26"/>
      <c r="BF557" s="26"/>
      <c r="BG557" s="26"/>
      <c r="BH557" s="26"/>
      <c r="BI557" s="26"/>
      <c r="BJ557" s="26"/>
      <c r="BK557" s="27"/>
    </row>
    <row r="558" spans="2:63" ht="15.5">
      <c r="B558" s="25"/>
      <c r="C558" s="24"/>
      <c r="D558" s="24"/>
      <c r="E558" s="24"/>
      <c r="F558" s="24"/>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6"/>
      <c r="BC558" s="26"/>
      <c r="BD558" s="26"/>
      <c r="BE558" s="26"/>
      <c r="BF558" s="26"/>
      <c r="BG558" s="26"/>
      <c r="BH558" s="26"/>
      <c r="BI558" s="26"/>
      <c r="BJ558" s="26"/>
      <c r="BK558" s="27"/>
    </row>
    <row r="559" spans="2:63" ht="15.5">
      <c r="B559" s="25"/>
      <c r="C559" s="24"/>
      <c r="D559" s="24"/>
      <c r="E559" s="24"/>
      <c r="F559" s="24"/>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6"/>
      <c r="BC559" s="26"/>
      <c r="BD559" s="26"/>
      <c r="BE559" s="26"/>
      <c r="BF559" s="26"/>
      <c r="BG559" s="26"/>
      <c r="BH559" s="26"/>
      <c r="BI559" s="26"/>
      <c r="BJ559" s="26"/>
      <c r="BK559" s="27"/>
    </row>
    <row r="560" spans="2:63" ht="15.5">
      <c r="B560" s="25"/>
      <c r="C560" s="24"/>
      <c r="D560" s="24"/>
      <c r="E560" s="24"/>
      <c r="F560" s="24"/>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6"/>
      <c r="BC560" s="26"/>
      <c r="BD560" s="26"/>
      <c r="BE560" s="26"/>
      <c r="BF560" s="26"/>
      <c r="BG560" s="26"/>
      <c r="BH560" s="26"/>
      <c r="BI560" s="26"/>
      <c r="BJ560" s="26"/>
      <c r="BK560" s="27"/>
    </row>
    <row r="561" spans="2:63" ht="15.5">
      <c r="B561" s="25"/>
      <c r="C561" s="24"/>
      <c r="D561" s="24"/>
      <c r="E561" s="24"/>
      <c r="F561" s="24"/>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6"/>
      <c r="BC561" s="26"/>
      <c r="BD561" s="26"/>
      <c r="BE561" s="26"/>
      <c r="BF561" s="26"/>
      <c r="BG561" s="26"/>
      <c r="BH561" s="26"/>
      <c r="BI561" s="26"/>
      <c r="BJ561" s="26"/>
      <c r="BK561" s="27"/>
    </row>
    <row r="562" spans="2:63" ht="15.5">
      <c r="B562" s="25"/>
      <c r="C562" s="24"/>
      <c r="D562" s="24"/>
      <c r="E562" s="24"/>
      <c r="F562" s="24"/>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6"/>
      <c r="BC562" s="26"/>
      <c r="BD562" s="26"/>
      <c r="BE562" s="26"/>
      <c r="BF562" s="26"/>
      <c r="BG562" s="26"/>
      <c r="BH562" s="26"/>
      <c r="BI562" s="26"/>
      <c r="BJ562" s="26"/>
      <c r="BK562" s="27"/>
    </row>
    <row r="563" spans="2:63" ht="15.5">
      <c r="B563" s="25"/>
      <c r="C563" s="24"/>
      <c r="D563" s="24"/>
      <c r="E563" s="24"/>
      <c r="F563" s="24"/>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6"/>
      <c r="BC563" s="26"/>
      <c r="BD563" s="26"/>
      <c r="BE563" s="26"/>
      <c r="BF563" s="26"/>
      <c r="BG563" s="26"/>
      <c r="BH563" s="26"/>
      <c r="BI563" s="26"/>
      <c r="BJ563" s="26"/>
      <c r="BK563" s="27"/>
    </row>
    <row r="564" spans="2:63" ht="15.5">
      <c r="B564" s="25"/>
      <c r="C564" s="24"/>
      <c r="D564" s="24"/>
      <c r="E564" s="24"/>
      <c r="F564" s="24"/>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6"/>
      <c r="BC564" s="26"/>
      <c r="BD564" s="26"/>
      <c r="BE564" s="26"/>
      <c r="BF564" s="26"/>
      <c r="BG564" s="26"/>
      <c r="BH564" s="26"/>
      <c r="BI564" s="26"/>
      <c r="BJ564" s="26"/>
      <c r="BK564" s="27"/>
    </row>
    <row r="565" spans="2:63" ht="15.5">
      <c r="B565" s="25"/>
      <c r="C565" s="24"/>
      <c r="D565" s="24"/>
      <c r="E565" s="24"/>
      <c r="F565" s="24"/>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6"/>
      <c r="BC565" s="26"/>
      <c r="BD565" s="26"/>
      <c r="BE565" s="26"/>
      <c r="BF565" s="26"/>
      <c r="BG565" s="26"/>
      <c r="BH565" s="26"/>
      <c r="BI565" s="26"/>
      <c r="BJ565" s="26"/>
      <c r="BK565" s="27"/>
    </row>
    <row r="566" spans="2:63" ht="15.5">
      <c r="B566" s="25"/>
      <c r="C566" s="24"/>
      <c r="D566" s="24"/>
      <c r="E566" s="24"/>
      <c r="F566" s="24"/>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6"/>
      <c r="BC566" s="26"/>
      <c r="BD566" s="26"/>
      <c r="BE566" s="26"/>
      <c r="BF566" s="26"/>
      <c r="BG566" s="26"/>
      <c r="BH566" s="26"/>
      <c r="BI566" s="26"/>
      <c r="BJ566" s="26"/>
      <c r="BK566" s="27"/>
    </row>
    <row r="567" spans="2:63" ht="15.5">
      <c r="B567" s="25"/>
      <c r="C567" s="24"/>
      <c r="D567" s="24"/>
      <c r="E567" s="24"/>
      <c r="F567" s="24"/>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6"/>
      <c r="BC567" s="26"/>
      <c r="BD567" s="26"/>
      <c r="BE567" s="26"/>
      <c r="BF567" s="26"/>
      <c r="BG567" s="26"/>
      <c r="BH567" s="26"/>
      <c r="BI567" s="26"/>
      <c r="BJ567" s="26"/>
      <c r="BK567" s="27"/>
    </row>
    <row r="568" spans="2:63" ht="15.5">
      <c r="B568" s="25"/>
      <c r="C568" s="24"/>
      <c r="D568" s="24"/>
      <c r="E568" s="24"/>
      <c r="F568" s="24"/>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6"/>
      <c r="BC568" s="26"/>
      <c r="BD568" s="26"/>
      <c r="BE568" s="26"/>
      <c r="BF568" s="26"/>
      <c r="BG568" s="26"/>
      <c r="BH568" s="26"/>
      <c r="BI568" s="26"/>
      <c r="BJ568" s="26"/>
      <c r="BK568" s="27"/>
    </row>
    <row r="569" spans="2:63" ht="15.5">
      <c r="B569" s="25"/>
      <c r="C569" s="24"/>
      <c r="D569" s="24"/>
      <c r="E569" s="24"/>
      <c r="F569" s="24"/>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6"/>
      <c r="BC569" s="26"/>
      <c r="BD569" s="26"/>
      <c r="BE569" s="26"/>
      <c r="BF569" s="26"/>
      <c r="BG569" s="26"/>
      <c r="BH569" s="26"/>
      <c r="BI569" s="26"/>
      <c r="BJ569" s="26"/>
      <c r="BK569" s="27"/>
    </row>
    <row r="570" spans="2:63" ht="15.5">
      <c r="B570" s="25"/>
      <c r="C570" s="24"/>
      <c r="D570" s="24"/>
      <c r="E570" s="24"/>
      <c r="F570" s="24"/>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6"/>
      <c r="BC570" s="26"/>
      <c r="BD570" s="26"/>
      <c r="BE570" s="26"/>
      <c r="BF570" s="26"/>
      <c r="BG570" s="26"/>
      <c r="BH570" s="26"/>
      <c r="BI570" s="26"/>
      <c r="BJ570" s="26"/>
      <c r="BK570" s="27"/>
    </row>
    <row r="571" spans="2:63" ht="15.5">
      <c r="B571" s="25"/>
      <c r="C571" s="24"/>
      <c r="D571" s="24"/>
      <c r="E571" s="24"/>
      <c r="F571" s="24"/>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6"/>
      <c r="BC571" s="26"/>
      <c r="BD571" s="26"/>
      <c r="BE571" s="26"/>
      <c r="BF571" s="26"/>
      <c r="BG571" s="26"/>
      <c r="BH571" s="26"/>
      <c r="BI571" s="26"/>
      <c r="BJ571" s="26"/>
      <c r="BK571" s="27"/>
    </row>
    <row r="572" spans="2:63" ht="15.5">
      <c r="B572" s="25"/>
      <c r="C572" s="24"/>
      <c r="D572" s="24"/>
      <c r="E572" s="24"/>
      <c r="F572" s="24"/>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6"/>
      <c r="BC572" s="26"/>
      <c r="BD572" s="26"/>
      <c r="BE572" s="26"/>
      <c r="BF572" s="26"/>
      <c r="BG572" s="26"/>
      <c r="BH572" s="26"/>
      <c r="BI572" s="26"/>
      <c r="BJ572" s="26"/>
      <c r="BK572" s="27"/>
    </row>
    <row r="573" spans="2:63" ht="15.5">
      <c r="B573" s="25"/>
      <c r="C573" s="24"/>
      <c r="D573" s="24"/>
      <c r="E573" s="24"/>
      <c r="F573" s="24"/>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6"/>
      <c r="BC573" s="26"/>
      <c r="BD573" s="26"/>
      <c r="BE573" s="26"/>
      <c r="BF573" s="26"/>
      <c r="BG573" s="26"/>
      <c r="BH573" s="26"/>
      <c r="BI573" s="26"/>
      <c r="BJ573" s="26"/>
      <c r="BK573" s="27"/>
    </row>
    <row r="574" spans="2:63" ht="15.5">
      <c r="B574" s="25"/>
      <c r="C574" s="24"/>
      <c r="D574" s="24"/>
      <c r="E574" s="24"/>
      <c r="F574" s="24"/>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6"/>
      <c r="BC574" s="26"/>
      <c r="BD574" s="26"/>
      <c r="BE574" s="26"/>
      <c r="BF574" s="26"/>
      <c r="BG574" s="26"/>
      <c r="BH574" s="26"/>
      <c r="BI574" s="26"/>
      <c r="BJ574" s="26"/>
      <c r="BK574" s="27"/>
    </row>
    <row r="575" spans="2:63" ht="15.5">
      <c r="B575" s="25"/>
      <c r="C575" s="24"/>
      <c r="D575" s="24"/>
      <c r="E575" s="24"/>
      <c r="F575" s="24"/>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6"/>
      <c r="BC575" s="26"/>
      <c r="BD575" s="26"/>
      <c r="BE575" s="26"/>
      <c r="BF575" s="26"/>
      <c r="BG575" s="26"/>
      <c r="BH575" s="26"/>
      <c r="BI575" s="26"/>
      <c r="BJ575" s="26"/>
      <c r="BK575" s="27"/>
    </row>
    <row r="576" spans="2:63" ht="15.5">
      <c r="B576" s="25"/>
      <c r="C576" s="24"/>
      <c r="D576" s="24"/>
      <c r="E576" s="24"/>
      <c r="F576" s="24"/>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6"/>
      <c r="BC576" s="26"/>
      <c r="BD576" s="26"/>
      <c r="BE576" s="26"/>
      <c r="BF576" s="26"/>
      <c r="BG576" s="26"/>
      <c r="BH576" s="26"/>
      <c r="BI576" s="26"/>
      <c r="BJ576" s="26"/>
      <c r="BK576" s="27"/>
    </row>
    <row r="577" spans="2:63" ht="15.5">
      <c r="B577" s="25"/>
      <c r="C577" s="24"/>
      <c r="D577" s="24"/>
      <c r="E577" s="24"/>
      <c r="F577" s="24"/>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6"/>
      <c r="BC577" s="26"/>
      <c r="BD577" s="26"/>
      <c r="BE577" s="26"/>
      <c r="BF577" s="26"/>
      <c r="BG577" s="26"/>
      <c r="BH577" s="26"/>
      <c r="BI577" s="26"/>
      <c r="BJ577" s="26"/>
      <c r="BK577" s="27"/>
    </row>
    <row r="578" spans="2:63" ht="15.5">
      <c r="B578" s="25"/>
      <c r="C578" s="24"/>
      <c r="D578" s="24"/>
      <c r="E578" s="24"/>
      <c r="F578" s="24"/>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6"/>
      <c r="BC578" s="26"/>
      <c r="BD578" s="26"/>
      <c r="BE578" s="26"/>
      <c r="BF578" s="26"/>
      <c r="BG578" s="26"/>
      <c r="BH578" s="26"/>
      <c r="BI578" s="26"/>
      <c r="BJ578" s="26"/>
      <c r="BK578" s="27"/>
    </row>
    <row r="579" spans="2:63" ht="15.5">
      <c r="B579" s="25"/>
      <c r="C579" s="24"/>
      <c r="D579" s="24"/>
      <c r="E579" s="24"/>
      <c r="F579" s="24"/>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6"/>
      <c r="BC579" s="26"/>
      <c r="BD579" s="26"/>
      <c r="BE579" s="26"/>
      <c r="BF579" s="26"/>
      <c r="BG579" s="26"/>
      <c r="BH579" s="26"/>
      <c r="BI579" s="26"/>
      <c r="BJ579" s="26"/>
      <c r="BK579" s="27"/>
    </row>
    <row r="580" spans="2:63" ht="15.5">
      <c r="B580" s="25"/>
      <c r="C580" s="24"/>
      <c r="D580" s="24"/>
      <c r="E580" s="24"/>
      <c r="F580" s="24"/>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6"/>
      <c r="BC580" s="26"/>
      <c r="BD580" s="26"/>
      <c r="BE580" s="26"/>
      <c r="BF580" s="26"/>
      <c r="BG580" s="26"/>
      <c r="BH580" s="26"/>
      <c r="BI580" s="26"/>
      <c r="BJ580" s="26"/>
      <c r="BK580" s="27"/>
    </row>
    <row r="581" spans="2:63" ht="15.5">
      <c r="B581" s="25"/>
      <c r="C581" s="24"/>
      <c r="D581" s="24"/>
      <c r="E581" s="24"/>
      <c r="F581" s="24"/>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6"/>
      <c r="BC581" s="26"/>
      <c r="BD581" s="26"/>
      <c r="BE581" s="26"/>
      <c r="BF581" s="26"/>
      <c r="BG581" s="26"/>
      <c r="BH581" s="26"/>
      <c r="BI581" s="26"/>
      <c r="BJ581" s="26"/>
      <c r="BK581" s="27"/>
    </row>
    <row r="582" spans="2:63" ht="15.5">
      <c r="B582" s="25"/>
      <c r="C582" s="24"/>
      <c r="D582" s="24"/>
      <c r="E582" s="24"/>
      <c r="F582" s="24"/>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6"/>
      <c r="BC582" s="26"/>
      <c r="BD582" s="26"/>
      <c r="BE582" s="26"/>
      <c r="BF582" s="26"/>
      <c r="BG582" s="26"/>
      <c r="BH582" s="26"/>
      <c r="BI582" s="26"/>
      <c r="BJ582" s="26"/>
      <c r="BK582" s="27"/>
    </row>
    <row r="583" spans="2:63" ht="15.5">
      <c r="B583" s="25"/>
      <c r="C583" s="24"/>
      <c r="D583" s="24"/>
      <c r="E583" s="24"/>
      <c r="F583" s="24"/>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6"/>
      <c r="BC583" s="26"/>
      <c r="BD583" s="26"/>
      <c r="BE583" s="26"/>
      <c r="BF583" s="26"/>
      <c r="BG583" s="26"/>
      <c r="BH583" s="26"/>
      <c r="BI583" s="26"/>
      <c r="BJ583" s="26"/>
      <c r="BK583" s="27"/>
    </row>
    <row r="584" spans="2:63" ht="15.5">
      <c r="B584" s="25"/>
      <c r="C584" s="24"/>
      <c r="D584" s="24"/>
      <c r="E584" s="24"/>
      <c r="F584" s="24"/>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6"/>
      <c r="BC584" s="26"/>
      <c r="BD584" s="26"/>
      <c r="BE584" s="26"/>
      <c r="BF584" s="26"/>
      <c r="BG584" s="26"/>
      <c r="BH584" s="26"/>
      <c r="BI584" s="26"/>
      <c r="BJ584" s="26"/>
      <c r="BK584" s="27"/>
    </row>
    <row r="585" spans="2:63" ht="15.5">
      <c r="B585" s="25"/>
      <c r="C585" s="24"/>
      <c r="D585" s="24"/>
      <c r="E585" s="24"/>
      <c r="F585" s="24"/>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6"/>
      <c r="BC585" s="26"/>
      <c r="BD585" s="26"/>
      <c r="BE585" s="26"/>
      <c r="BF585" s="26"/>
      <c r="BG585" s="26"/>
      <c r="BH585" s="26"/>
      <c r="BI585" s="26"/>
      <c r="BJ585" s="26"/>
      <c r="BK585" s="27"/>
    </row>
    <row r="586" spans="2:63" ht="15.5">
      <c r="B586" s="25"/>
      <c r="C586" s="24"/>
      <c r="D586" s="24"/>
      <c r="E586" s="24"/>
      <c r="F586" s="24"/>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6"/>
      <c r="BC586" s="26"/>
      <c r="BD586" s="26"/>
      <c r="BE586" s="26"/>
      <c r="BF586" s="26"/>
      <c r="BG586" s="26"/>
      <c r="BH586" s="26"/>
      <c r="BI586" s="26"/>
      <c r="BJ586" s="26"/>
      <c r="BK586" s="27"/>
    </row>
    <row r="587" spans="2:63" ht="15.5">
      <c r="B587" s="25"/>
      <c r="C587" s="24"/>
      <c r="D587" s="24"/>
      <c r="E587" s="24"/>
      <c r="F587" s="24"/>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6"/>
      <c r="BC587" s="26"/>
      <c r="BD587" s="26"/>
      <c r="BE587" s="26"/>
      <c r="BF587" s="26"/>
      <c r="BG587" s="26"/>
      <c r="BH587" s="26"/>
      <c r="BI587" s="26"/>
      <c r="BJ587" s="26"/>
      <c r="BK587" s="27"/>
    </row>
    <row r="588" spans="2:63" ht="15.5">
      <c r="B588" s="25"/>
      <c r="C588" s="24"/>
      <c r="D588" s="24"/>
      <c r="E588" s="24"/>
      <c r="F588" s="24"/>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6"/>
      <c r="BC588" s="26"/>
      <c r="BD588" s="26"/>
      <c r="BE588" s="26"/>
      <c r="BF588" s="26"/>
      <c r="BG588" s="26"/>
      <c r="BH588" s="26"/>
      <c r="BI588" s="26"/>
      <c r="BJ588" s="26"/>
      <c r="BK588" s="27"/>
    </row>
    <row r="589" spans="2:63" ht="15.5">
      <c r="B589" s="25"/>
      <c r="C589" s="24"/>
      <c r="D589" s="24"/>
      <c r="E589" s="24"/>
      <c r="F589" s="24"/>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6"/>
      <c r="BC589" s="26"/>
      <c r="BD589" s="26"/>
      <c r="BE589" s="26"/>
      <c r="BF589" s="26"/>
      <c r="BG589" s="26"/>
      <c r="BH589" s="26"/>
      <c r="BI589" s="26"/>
      <c r="BJ589" s="26"/>
      <c r="BK589" s="27"/>
    </row>
    <row r="590" spans="2:63" ht="15.5">
      <c r="B590" s="25"/>
      <c r="C590" s="24"/>
      <c r="D590" s="24"/>
      <c r="E590" s="24"/>
      <c r="F590" s="24"/>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6"/>
      <c r="BC590" s="26"/>
      <c r="BD590" s="26"/>
      <c r="BE590" s="26"/>
      <c r="BF590" s="26"/>
      <c r="BG590" s="26"/>
      <c r="BH590" s="26"/>
      <c r="BI590" s="26"/>
      <c r="BJ590" s="26"/>
      <c r="BK590" s="27"/>
    </row>
    <row r="591" spans="2:63" ht="15.5">
      <c r="B591" s="25"/>
      <c r="C591" s="24"/>
      <c r="D591" s="24"/>
      <c r="E591" s="24"/>
      <c r="F591" s="24"/>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6"/>
      <c r="BC591" s="26"/>
      <c r="BD591" s="26"/>
      <c r="BE591" s="26"/>
      <c r="BF591" s="26"/>
      <c r="BG591" s="26"/>
      <c r="BH591" s="26"/>
      <c r="BI591" s="26"/>
      <c r="BJ591" s="26"/>
      <c r="BK591" s="27"/>
    </row>
    <row r="592" spans="2:63" ht="15.5">
      <c r="B592" s="25"/>
      <c r="C592" s="24"/>
      <c r="D592" s="24"/>
      <c r="E592" s="24"/>
      <c r="F592" s="24"/>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6"/>
      <c r="BC592" s="26"/>
      <c r="BD592" s="26"/>
      <c r="BE592" s="26"/>
      <c r="BF592" s="26"/>
      <c r="BG592" s="26"/>
      <c r="BH592" s="26"/>
      <c r="BI592" s="26"/>
      <c r="BJ592" s="26"/>
      <c r="BK592" s="27"/>
    </row>
    <row r="593" spans="2:63" ht="15.5">
      <c r="B593" s="25"/>
      <c r="C593" s="24"/>
      <c r="D593" s="24"/>
      <c r="E593" s="24"/>
      <c r="F593" s="24"/>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6"/>
      <c r="BC593" s="26"/>
      <c r="BD593" s="26"/>
      <c r="BE593" s="26"/>
      <c r="BF593" s="26"/>
      <c r="BG593" s="26"/>
      <c r="BH593" s="26"/>
      <c r="BI593" s="26"/>
      <c r="BJ593" s="26"/>
      <c r="BK593" s="27"/>
    </row>
    <row r="594" spans="2:63" ht="15.5">
      <c r="B594" s="25"/>
      <c r="C594" s="24"/>
      <c r="D594" s="24"/>
      <c r="E594" s="24"/>
      <c r="F594" s="24"/>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6"/>
      <c r="BC594" s="26"/>
      <c r="BD594" s="26"/>
      <c r="BE594" s="26"/>
      <c r="BF594" s="26"/>
      <c r="BG594" s="26"/>
      <c r="BH594" s="26"/>
      <c r="BI594" s="26"/>
      <c r="BJ594" s="26"/>
      <c r="BK594" s="27"/>
    </row>
    <row r="595" spans="2:63" ht="15.5">
      <c r="B595" s="25"/>
      <c r="C595" s="24"/>
      <c r="D595" s="24"/>
      <c r="E595" s="24"/>
      <c r="F595" s="24"/>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6"/>
      <c r="BC595" s="26"/>
      <c r="BD595" s="26"/>
      <c r="BE595" s="26"/>
      <c r="BF595" s="26"/>
      <c r="BG595" s="26"/>
      <c r="BH595" s="26"/>
      <c r="BI595" s="26"/>
      <c r="BJ595" s="26"/>
      <c r="BK595" s="27"/>
    </row>
    <row r="596" spans="2:63" ht="15.5">
      <c r="B596" s="25"/>
      <c r="C596" s="24"/>
      <c r="D596" s="24"/>
      <c r="E596" s="24"/>
      <c r="F596" s="24"/>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6"/>
      <c r="BC596" s="26"/>
      <c r="BD596" s="26"/>
      <c r="BE596" s="26"/>
      <c r="BF596" s="26"/>
      <c r="BG596" s="26"/>
      <c r="BH596" s="26"/>
      <c r="BI596" s="26"/>
      <c r="BJ596" s="26"/>
      <c r="BK596" s="27"/>
    </row>
    <row r="597" spans="2:63" ht="15.5">
      <c r="B597" s="25"/>
      <c r="C597" s="24"/>
      <c r="D597" s="24"/>
      <c r="E597" s="24"/>
      <c r="F597" s="24"/>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6"/>
      <c r="BC597" s="26"/>
      <c r="BD597" s="26"/>
      <c r="BE597" s="26"/>
      <c r="BF597" s="26"/>
      <c r="BG597" s="26"/>
      <c r="BH597" s="26"/>
      <c r="BI597" s="26"/>
      <c r="BJ597" s="26"/>
      <c r="BK597" s="27"/>
    </row>
    <row r="598" spans="2:63" ht="15.5">
      <c r="B598" s="25"/>
      <c r="C598" s="24"/>
      <c r="D598" s="24"/>
      <c r="E598" s="24"/>
      <c r="F598" s="24"/>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6"/>
      <c r="BC598" s="26"/>
      <c r="BD598" s="26"/>
      <c r="BE598" s="26"/>
      <c r="BF598" s="26"/>
      <c r="BG598" s="26"/>
      <c r="BH598" s="26"/>
      <c r="BI598" s="26"/>
      <c r="BJ598" s="26"/>
      <c r="BK598" s="27"/>
    </row>
    <row r="599" spans="2:63" ht="15.5">
      <c r="B599" s="25"/>
      <c r="C599" s="24"/>
      <c r="D599" s="24"/>
      <c r="E599" s="24"/>
      <c r="F599" s="24"/>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6"/>
      <c r="BC599" s="26"/>
      <c r="BD599" s="26"/>
      <c r="BE599" s="26"/>
      <c r="BF599" s="26"/>
      <c r="BG599" s="26"/>
      <c r="BH599" s="26"/>
      <c r="BI599" s="26"/>
      <c r="BJ599" s="26"/>
      <c r="BK599" s="27"/>
    </row>
    <row r="600" spans="2:63" ht="15.5">
      <c r="B600" s="25"/>
      <c r="C600" s="24"/>
      <c r="D600" s="24"/>
      <c r="E600" s="24"/>
      <c r="F600" s="24"/>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6"/>
      <c r="BC600" s="26"/>
      <c r="BD600" s="26"/>
      <c r="BE600" s="26"/>
      <c r="BF600" s="26"/>
      <c r="BG600" s="26"/>
      <c r="BH600" s="26"/>
      <c r="BI600" s="26"/>
      <c r="BJ600" s="26"/>
      <c r="BK600" s="27"/>
    </row>
    <row r="601" spans="2:63" ht="15.5">
      <c r="B601" s="25"/>
      <c r="C601" s="24"/>
      <c r="D601" s="24"/>
      <c r="E601" s="24"/>
      <c r="F601" s="24"/>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6"/>
      <c r="BC601" s="26"/>
      <c r="BD601" s="26"/>
      <c r="BE601" s="26"/>
      <c r="BF601" s="26"/>
      <c r="BG601" s="26"/>
      <c r="BH601" s="26"/>
      <c r="BI601" s="26"/>
      <c r="BJ601" s="26"/>
      <c r="BK601" s="27"/>
    </row>
    <row r="602" spans="2:63" ht="15.5">
      <c r="B602" s="25"/>
      <c r="C602" s="24"/>
      <c r="D602" s="24"/>
      <c r="E602" s="24"/>
      <c r="F602" s="24"/>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6"/>
      <c r="BC602" s="26"/>
      <c r="BD602" s="26"/>
      <c r="BE602" s="26"/>
      <c r="BF602" s="26"/>
      <c r="BG602" s="26"/>
      <c r="BH602" s="26"/>
      <c r="BI602" s="26"/>
      <c r="BJ602" s="26"/>
      <c r="BK602" s="27"/>
    </row>
    <row r="603" spans="2:63" ht="15.5">
      <c r="B603" s="25"/>
      <c r="C603" s="24"/>
      <c r="D603" s="24"/>
      <c r="E603" s="24"/>
      <c r="F603" s="24"/>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6"/>
      <c r="BC603" s="26"/>
      <c r="BD603" s="26"/>
      <c r="BE603" s="26"/>
      <c r="BF603" s="26"/>
      <c r="BG603" s="26"/>
      <c r="BH603" s="26"/>
      <c r="BI603" s="26"/>
      <c r="BJ603" s="26"/>
      <c r="BK603" s="27"/>
    </row>
    <row r="604" spans="2:63" ht="15.5">
      <c r="B604" s="25"/>
      <c r="C604" s="24"/>
      <c r="D604" s="24"/>
      <c r="E604" s="24"/>
      <c r="F604" s="24"/>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6"/>
      <c r="BC604" s="26"/>
      <c r="BD604" s="26"/>
      <c r="BE604" s="26"/>
      <c r="BF604" s="26"/>
      <c r="BG604" s="26"/>
      <c r="BH604" s="26"/>
      <c r="BI604" s="26"/>
      <c r="BJ604" s="26"/>
      <c r="BK604" s="27"/>
    </row>
    <row r="605" spans="2:63" ht="15.5">
      <c r="B605" s="25"/>
      <c r="C605" s="24"/>
      <c r="D605" s="24"/>
      <c r="E605" s="24"/>
      <c r="F605" s="24"/>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6"/>
      <c r="BC605" s="26"/>
      <c r="BD605" s="26"/>
      <c r="BE605" s="26"/>
      <c r="BF605" s="26"/>
      <c r="BG605" s="26"/>
      <c r="BH605" s="26"/>
      <c r="BI605" s="26"/>
      <c r="BJ605" s="26"/>
      <c r="BK605" s="27"/>
    </row>
    <row r="606" spans="2:63" ht="15.5">
      <c r="B606" s="25"/>
      <c r="C606" s="24"/>
      <c r="D606" s="24"/>
      <c r="E606" s="24"/>
      <c r="F606" s="24"/>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6"/>
      <c r="BC606" s="26"/>
      <c r="BD606" s="26"/>
      <c r="BE606" s="26"/>
      <c r="BF606" s="26"/>
      <c r="BG606" s="26"/>
      <c r="BH606" s="26"/>
      <c r="BI606" s="26"/>
      <c r="BJ606" s="26"/>
      <c r="BK606" s="27"/>
    </row>
    <row r="607" spans="2:63" ht="15.5">
      <c r="B607" s="25"/>
      <c r="C607" s="24"/>
      <c r="D607" s="24"/>
      <c r="E607" s="24"/>
      <c r="F607" s="24"/>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6"/>
      <c r="BC607" s="26"/>
      <c r="BD607" s="26"/>
      <c r="BE607" s="26"/>
      <c r="BF607" s="26"/>
      <c r="BG607" s="26"/>
      <c r="BH607" s="26"/>
      <c r="BI607" s="26"/>
      <c r="BJ607" s="26"/>
      <c r="BK607" s="27"/>
    </row>
    <row r="608" spans="2:63" ht="15.5">
      <c r="B608" s="25"/>
      <c r="C608" s="24"/>
      <c r="D608" s="24"/>
      <c r="E608" s="24"/>
      <c r="F608" s="24"/>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6"/>
      <c r="BC608" s="26"/>
      <c r="BD608" s="26"/>
      <c r="BE608" s="26"/>
      <c r="BF608" s="26"/>
      <c r="BG608" s="26"/>
      <c r="BH608" s="26"/>
      <c r="BI608" s="26"/>
      <c r="BJ608" s="26"/>
      <c r="BK608" s="27"/>
    </row>
    <row r="609" spans="2:63" ht="15.5">
      <c r="B609" s="25"/>
      <c r="C609" s="24"/>
      <c r="D609" s="24"/>
      <c r="E609" s="24"/>
      <c r="F609" s="24"/>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6"/>
      <c r="BC609" s="26"/>
      <c r="BD609" s="26"/>
      <c r="BE609" s="26"/>
      <c r="BF609" s="26"/>
      <c r="BG609" s="26"/>
      <c r="BH609" s="26"/>
      <c r="BI609" s="26"/>
      <c r="BJ609" s="26"/>
      <c r="BK609" s="27"/>
    </row>
    <row r="610" spans="2:63" ht="15.5">
      <c r="B610" s="25"/>
      <c r="C610" s="24"/>
      <c r="D610" s="24"/>
      <c r="E610" s="24"/>
      <c r="F610" s="24"/>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6"/>
      <c r="BC610" s="26"/>
      <c r="BD610" s="26"/>
      <c r="BE610" s="26"/>
      <c r="BF610" s="26"/>
      <c r="BG610" s="26"/>
      <c r="BH610" s="26"/>
      <c r="BI610" s="26"/>
      <c r="BJ610" s="26"/>
      <c r="BK610" s="27"/>
    </row>
    <row r="611" spans="2:63" ht="15.5">
      <c r="B611" s="25"/>
      <c r="C611" s="24"/>
      <c r="D611" s="24"/>
      <c r="E611" s="24"/>
      <c r="F611" s="24"/>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6"/>
      <c r="BC611" s="26"/>
      <c r="BD611" s="26"/>
      <c r="BE611" s="26"/>
      <c r="BF611" s="26"/>
      <c r="BG611" s="26"/>
      <c r="BH611" s="26"/>
      <c r="BI611" s="26"/>
      <c r="BJ611" s="26"/>
      <c r="BK611" s="27"/>
    </row>
    <row r="612" spans="2:63" ht="15.5">
      <c r="B612" s="25"/>
      <c r="C612" s="24"/>
      <c r="D612" s="24"/>
      <c r="E612" s="24"/>
      <c r="F612" s="24"/>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6"/>
      <c r="BC612" s="26"/>
      <c r="BD612" s="26"/>
      <c r="BE612" s="26"/>
      <c r="BF612" s="26"/>
      <c r="BG612" s="26"/>
      <c r="BH612" s="26"/>
      <c r="BI612" s="26"/>
      <c r="BJ612" s="26"/>
      <c r="BK612" s="27"/>
    </row>
    <row r="613" spans="2:63" ht="15.5">
      <c r="B613" s="25"/>
      <c r="C613" s="24"/>
      <c r="D613" s="24"/>
      <c r="E613" s="24"/>
      <c r="F613" s="24"/>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6"/>
      <c r="BC613" s="26"/>
      <c r="BD613" s="26"/>
      <c r="BE613" s="26"/>
      <c r="BF613" s="26"/>
      <c r="BG613" s="26"/>
      <c r="BH613" s="26"/>
      <c r="BI613" s="26"/>
      <c r="BJ613" s="26"/>
      <c r="BK613" s="27"/>
    </row>
    <row r="614" spans="2:63" ht="15.5">
      <c r="B614" s="25"/>
      <c r="C614" s="24"/>
      <c r="D614" s="24"/>
      <c r="E614" s="24"/>
      <c r="F614" s="24"/>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6"/>
      <c r="BC614" s="26"/>
      <c r="BD614" s="26"/>
      <c r="BE614" s="26"/>
      <c r="BF614" s="26"/>
      <c r="BG614" s="26"/>
      <c r="BH614" s="26"/>
      <c r="BI614" s="26"/>
      <c r="BJ614" s="26"/>
      <c r="BK614" s="27"/>
    </row>
    <row r="615" spans="2:63" ht="15.5">
      <c r="B615" s="25"/>
      <c r="C615" s="24"/>
      <c r="D615" s="24"/>
      <c r="E615" s="24"/>
      <c r="F615" s="24"/>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6"/>
      <c r="BC615" s="26"/>
      <c r="BD615" s="26"/>
      <c r="BE615" s="26"/>
      <c r="BF615" s="26"/>
      <c r="BG615" s="26"/>
      <c r="BH615" s="26"/>
      <c r="BI615" s="26"/>
      <c r="BJ615" s="26"/>
      <c r="BK615" s="27"/>
    </row>
    <row r="616" spans="2:63" ht="15.5">
      <c r="B616" s="25"/>
      <c r="C616" s="24"/>
      <c r="D616" s="24"/>
      <c r="E616" s="24"/>
      <c r="F616" s="24"/>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6"/>
      <c r="BC616" s="26"/>
      <c r="BD616" s="26"/>
      <c r="BE616" s="26"/>
      <c r="BF616" s="26"/>
      <c r="BG616" s="26"/>
      <c r="BH616" s="26"/>
      <c r="BI616" s="26"/>
      <c r="BJ616" s="26"/>
      <c r="BK616" s="27"/>
    </row>
    <row r="617" spans="2:63" ht="15.5">
      <c r="B617" s="25"/>
      <c r="C617" s="24"/>
      <c r="D617" s="24"/>
      <c r="E617" s="24"/>
      <c r="F617" s="24"/>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6"/>
      <c r="BC617" s="26"/>
      <c r="BD617" s="26"/>
      <c r="BE617" s="26"/>
      <c r="BF617" s="26"/>
      <c r="BG617" s="26"/>
      <c r="BH617" s="26"/>
      <c r="BI617" s="26"/>
      <c r="BJ617" s="26"/>
      <c r="BK617" s="27"/>
    </row>
    <row r="618" spans="2:63" ht="15.5">
      <c r="B618" s="25"/>
      <c r="C618" s="24"/>
      <c r="D618" s="24"/>
      <c r="E618" s="24"/>
      <c r="F618" s="24"/>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6"/>
      <c r="BC618" s="26"/>
      <c r="BD618" s="26"/>
      <c r="BE618" s="26"/>
      <c r="BF618" s="26"/>
      <c r="BG618" s="26"/>
      <c r="BH618" s="26"/>
      <c r="BI618" s="26"/>
      <c r="BJ618" s="26"/>
      <c r="BK618" s="27"/>
    </row>
    <row r="619" spans="2:63" ht="15.5">
      <c r="B619" s="25"/>
      <c r="C619" s="24"/>
      <c r="D619" s="24"/>
      <c r="E619" s="24"/>
      <c r="F619" s="24"/>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6"/>
      <c r="BC619" s="26"/>
      <c r="BD619" s="26"/>
      <c r="BE619" s="26"/>
      <c r="BF619" s="26"/>
      <c r="BG619" s="26"/>
      <c r="BH619" s="26"/>
      <c r="BI619" s="26"/>
      <c r="BJ619" s="26"/>
      <c r="BK619" s="27"/>
    </row>
    <row r="620" spans="2:63" ht="15.5">
      <c r="B620" s="25"/>
      <c r="C620" s="24"/>
      <c r="D620" s="24"/>
      <c r="E620" s="24"/>
      <c r="F620" s="24"/>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6"/>
      <c r="BC620" s="26"/>
      <c r="BD620" s="26"/>
      <c r="BE620" s="26"/>
      <c r="BF620" s="26"/>
      <c r="BG620" s="26"/>
      <c r="BH620" s="26"/>
      <c r="BI620" s="26"/>
      <c r="BJ620" s="26"/>
      <c r="BK620" s="27"/>
    </row>
    <row r="621" spans="2:63" ht="15.5">
      <c r="B621" s="25"/>
      <c r="C621" s="24"/>
      <c r="D621" s="24"/>
      <c r="E621" s="24"/>
      <c r="F621" s="24"/>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6"/>
      <c r="BC621" s="26"/>
      <c r="BD621" s="26"/>
      <c r="BE621" s="26"/>
      <c r="BF621" s="26"/>
      <c r="BG621" s="26"/>
      <c r="BH621" s="26"/>
      <c r="BI621" s="26"/>
      <c r="BJ621" s="26"/>
      <c r="BK621" s="27"/>
    </row>
    <row r="622" spans="2:63" ht="15.5">
      <c r="B622" s="25"/>
      <c r="C622" s="24"/>
      <c r="D622" s="24"/>
      <c r="E622" s="24"/>
      <c r="F622" s="24"/>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6"/>
      <c r="BC622" s="26"/>
      <c r="BD622" s="26"/>
      <c r="BE622" s="26"/>
      <c r="BF622" s="26"/>
      <c r="BG622" s="26"/>
      <c r="BH622" s="26"/>
      <c r="BI622" s="26"/>
      <c r="BJ622" s="26"/>
      <c r="BK622" s="27"/>
    </row>
    <row r="623" spans="2:63" ht="15.5">
      <c r="B623" s="25"/>
      <c r="C623" s="24"/>
      <c r="D623" s="24"/>
      <c r="E623" s="24"/>
      <c r="F623" s="24"/>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6"/>
      <c r="BC623" s="26"/>
      <c r="BD623" s="26"/>
      <c r="BE623" s="26"/>
      <c r="BF623" s="26"/>
      <c r="BG623" s="26"/>
      <c r="BH623" s="26"/>
      <c r="BI623" s="26"/>
      <c r="BJ623" s="26"/>
      <c r="BK623" s="27"/>
    </row>
    <row r="624" spans="2:63" ht="15.5">
      <c r="B624" s="25"/>
      <c r="C624" s="24"/>
      <c r="D624" s="24"/>
      <c r="E624" s="24"/>
      <c r="F624" s="24"/>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6"/>
      <c r="BC624" s="26"/>
      <c r="BD624" s="26"/>
      <c r="BE624" s="26"/>
      <c r="BF624" s="26"/>
      <c r="BG624" s="26"/>
      <c r="BH624" s="26"/>
      <c r="BI624" s="26"/>
      <c r="BJ624" s="26"/>
      <c r="BK624" s="27"/>
    </row>
    <row r="625" spans="2:63" ht="15.5">
      <c r="B625" s="25"/>
      <c r="C625" s="24"/>
      <c r="D625" s="24"/>
      <c r="E625" s="24"/>
      <c r="F625" s="24"/>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6"/>
      <c r="BC625" s="26"/>
      <c r="BD625" s="26"/>
      <c r="BE625" s="26"/>
      <c r="BF625" s="26"/>
      <c r="BG625" s="26"/>
      <c r="BH625" s="26"/>
      <c r="BI625" s="26"/>
      <c r="BJ625" s="26"/>
      <c r="BK625" s="27"/>
    </row>
    <row r="626" spans="2:63" ht="15.5">
      <c r="B626" s="25"/>
      <c r="C626" s="24"/>
      <c r="D626" s="24"/>
      <c r="E626" s="24"/>
      <c r="F626" s="24"/>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6"/>
      <c r="BC626" s="26"/>
      <c r="BD626" s="26"/>
      <c r="BE626" s="26"/>
      <c r="BF626" s="26"/>
      <c r="BG626" s="26"/>
      <c r="BH626" s="26"/>
      <c r="BI626" s="26"/>
      <c r="BJ626" s="26"/>
      <c r="BK626" s="27"/>
    </row>
    <row r="627" spans="2:63" ht="15.5">
      <c r="B627" s="25"/>
      <c r="C627" s="24"/>
      <c r="D627" s="24"/>
      <c r="E627" s="24"/>
      <c r="F627" s="24"/>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6"/>
      <c r="BC627" s="26"/>
      <c r="BD627" s="26"/>
      <c r="BE627" s="26"/>
      <c r="BF627" s="26"/>
      <c r="BG627" s="26"/>
      <c r="BH627" s="26"/>
      <c r="BI627" s="26"/>
      <c r="BJ627" s="26"/>
      <c r="BK627" s="27"/>
    </row>
    <row r="628" spans="2:63" ht="15.5">
      <c r="B628" s="25"/>
      <c r="C628" s="24"/>
      <c r="D628" s="24"/>
      <c r="E628" s="24"/>
      <c r="F628" s="24"/>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6"/>
      <c r="BC628" s="26"/>
      <c r="BD628" s="26"/>
      <c r="BE628" s="26"/>
      <c r="BF628" s="26"/>
      <c r="BG628" s="26"/>
      <c r="BH628" s="26"/>
      <c r="BI628" s="26"/>
      <c r="BJ628" s="26"/>
      <c r="BK628" s="27"/>
    </row>
    <row r="629" spans="2:63" ht="15.5">
      <c r="B629" s="25"/>
      <c r="C629" s="24"/>
      <c r="D629" s="24"/>
      <c r="E629" s="24"/>
      <c r="F629" s="24"/>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6"/>
      <c r="BC629" s="26"/>
      <c r="BD629" s="26"/>
      <c r="BE629" s="26"/>
      <c r="BF629" s="26"/>
      <c r="BG629" s="26"/>
      <c r="BH629" s="26"/>
      <c r="BI629" s="26"/>
      <c r="BJ629" s="26"/>
      <c r="BK629" s="27"/>
    </row>
    <row r="630" spans="2:63" ht="15.5">
      <c r="B630" s="25"/>
      <c r="C630" s="24"/>
      <c r="D630" s="24"/>
      <c r="E630" s="24"/>
      <c r="F630" s="24"/>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6"/>
      <c r="BC630" s="26"/>
      <c r="BD630" s="26"/>
      <c r="BE630" s="26"/>
      <c r="BF630" s="26"/>
      <c r="BG630" s="26"/>
      <c r="BH630" s="26"/>
      <c r="BI630" s="26"/>
      <c r="BJ630" s="26"/>
      <c r="BK630" s="27"/>
    </row>
    <row r="631" spans="2:63" ht="15.5">
      <c r="B631" s="25"/>
      <c r="C631" s="24"/>
      <c r="D631" s="24"/>
      <c r="E631" s="24"/>
      <c r="F631" s="24"/>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6"/>
      <c r="BC631" s="26"/>
      <c r="BD631" s="26"/>
      <c r="BE631" s="26"/>
      <c r="BF631" s="26"/>
      <c r="BG631" s="26"/>
      <c r="BH631" s="26"/>
      <c r="BI631" s="26"/>
      <c r="BJ631" s="26"/>
      <c r="BK631" s="27"/>
    </row>
    <row r="632" spans="2:63" ht="15.5">
      <c r="B632" s="25"/>
      <c r="C632" s="24"/>
      <c r="D632" s="24"/>
      <c r="E632" s="24"/>
      <c r="F632" s="24"/>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6"/>
      <c r="BC632" s="26"/>
      <c r="BD632" s="26"/>
      <c r="BE632" s="26"/>
      <c r="BF632" s="26"/>
      <c r="BG632" s="26"/>
      <c r="BH632" s="26"/>
      <c r="BI632" s="26"/>
      <c r="BJ632" s="26"/>
      <c r="BK632" s="27"/>
    </row>
    <row r="633" spans="2:63" ht="15.5">
      <c r="B633" s="25"/>
      <c r="C633" s="24"/>
      <c r="D633" s="24"/>
      <c r="E633" s="24"/>
      <c r="F633" s="24"/>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6"/>
      <c r="BC633" s="26"/>
      <c r="BD633" s="26"/>
      <c r="BE633" s="26"/>
      <c r="BF633" s="26"/>
      <c r="BG633" s="26"/>
      <c r="BH633" s="26"/>
      <c r="BI633" s="26"/>
      <c r="BJ633" s="26"/>
      <c r="BK633" s="27"/>
    </row>
    <row r="634" spans="2:63" ht="15.5">
      <c r="B634" s="25"/>
      <c r="C634" s="24"/>
      <c r="D634" s="24"/>
      <c r="E634" s="24"/>
      <c r="F634" s="24"/>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6"/>
      <c r="BC634" s="26"/>
      <c r="BD634" s="26"/>
      <c r="BE634" s="26"/>
      <c r="BF634" s="26"/>
      <c r="BG634" s="26"/>
      <c r="BH634" s="26"/>
      <c r="BI634" s="26"/>
      <c r="BJ634" s="26"/>
      <c r="BK634" s="27"/>
    </row>
    <row r="635" spans="2:63" ht="15.5">
      <c r="B635" s="25"/>
      <c r="C635" s="24"/>
      <c r="D635" s="24"/>
      <c r="E635" s="24"/>
      <c r="F635" s="24"/>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6"/>
      <c r="BC635" s="26"/>
      <c r="BD635" s="26"/>
      <c r="BE635" s="26"/>
      <c r="BF635" s="26"/>
      <c r="BG635" s="26"/>
      <c r="BH635" s="26"/>
      <c r="BI635" s="26"/>
      <c r="BJ635" s="26"/>
      <c r="BK635" s="27"/>
    </row>
    <row r="636" spans="2:63" ht="15.5">
      <c r="B636" s="25"/>
      <c r="C636" s="24"/>
      <c r="D636" s="24"/>
      <c r="E636" s="24"/>
      <c r="F636" s="24"/>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6"/>
      <c r="BC636" s="26"/>
      <c r="BD636" s="26"/>
      <c r="BE636" s="26"/>
      <c r="BF636" s="26"/>
      <c r="BG636" s="26"/>
      <c r="BH636" s="26"/>
      <c r="BI636" s="26"/>
      <c r="BJ636" s="26"/>
      <c r="BK636" s="27"/>
    </row>
    <row r="637" spans="2:63" ht="15.5">
      <c r="B637" s="25"/>
      <c r="C637" s="24"/>
      <c r="D637" s="24"/>
      <c r="E637" s="24"/>
      <c r="F637" s="24"/>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6"/>
      <c r="BC637" s="26"/>
      <c r="BD637" s="26"/>
      <c r="BE637" s="26"/>
      <c r="BF637" s="26"/>
      <c r="BG637" s="26"/>
      <c r="BH637" s="26"/>
      <c r="BI637" s="26"/>
      <c r="BJ637" s="26"/>
      <c r="BK637" s="27"/>
    </row>
    <row r="638" spans="2:63" ht="15.5">
      <c r="B638" s="25"/>
      <c r="C638" s="24"/>
      <c r="D638" s="24"/>
      <c r="E638" s="24"/>
      <c r="F638" s="24"/>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6"/>
      <c r="BC638" s="26"/>
      <c r="BD638" s="26"/>
      <c r="BE638" s="26"/>
      <c r="BF638" s="26"/>
      <c r="BG638" s="26"/>
      <c r="BH638" s="26"/>
      <c r="BI638" s="26"/>
      <c r="BJ638" s="26"/>
      <c r="BK638" s="27"/>
    </row>
    <row r="639" spans="2:63" ht="15.5">
      <c r="B639" s="25"/>
      <c r="C639" s="24"/>
      <c r="D639" s="24"/>
      <c r="E639" s="24"/>
      <c r="F639" s="24"/>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6"/>
      <c r="BC639" s="26"/>
      <c r="BD639" s="26"/>
      <c r="BE639" s="26"/>
      <c r="BF639" s="26"/>
      <c r="BG639" s="26"/>
      <c r="BH639" s="26"/>
      <c r="BI639" s="26"/>
      <c r="BJ639" s="26"/>
      <c r="BK639" s="27"/>
    </row>
    <row r="640" spans="2:63" ht="15.5">
      <c r="B640" s="25"/>
      <c r="C640" s="24"/>
      <c r="D640" s="24"/>
      <c r="E640" s="24"/>
      <c r="F640" s="24"/>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6"/>
      <c r="BC640" s="26"/>
      <c r="BD640" s="26"/>
      <c r="BE640" s="26"/>
      <c r="BF640" s="26"/>
      <c r="BG640" s="26"/>
      <c r="BH640" s="26"/>
      <c r="BI640" s="26"/>
      <c r="BJ640" s="26"/>
      <c r="BK640" s="27"/>
    </row>
    <row r="641" spans="2:63" ht="15.5">
      <c r="B641" s="25"/>
      <c r="C641" s="24"/>
      <c r="D641" s="24"/>
      <c r="E641" s="24"/>
      <c r="F641" s="24"/>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6"/>
      <c r="BC641" s="26"/>
      <c r="BD641" s="26"/>
      <c r="BE641" s="26"/>
      <c r="BF641" s="26"/>
      <c r="BG641" s="26"/>
      <c r="BH641" s="26"/>
      <c r="BI641" s="26"/>
      <c r="BJ641" s="26"/>
      <c r="BK641" s="27"/>
    </row>
    <row r="642" spans="2:63" ht="15.5">
      <c r="B642" s="25"/>
      <c r="C642" s="24"/>
      <c r="D642" s="24"/>
      <c r="E642" s="24"/>
      <c r="F642" s="24"/>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6"/>
      <c r="BC642" s="26"/>
      <c r="BD642" s="26"/>
      <c r="BE642" s="26"/>
      <c r="BF642" s="26"/>
      <c r="BG642" s="26"/>
      <c r="BH642" s="26"/>
      <c r="BI642" s="26"/>
      <c r="BJ642" s="26"/>
      <c r="BK642" s="27"/>
    </row>
    <row r="643" spans="2:63" ht="15.5">
      <c r="B643" s="25"/>
      <c r="C643" s="24"/>
      <c r="D643" s="24"/>
      <c r="E643" s="24"/>
      <c r="F643" s="24"/>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6"/>
      <c r="BC643" s="26"/>
      <c r="BD643" s="26"/>
      <c r="BE643" s="26"/>
      <c r="BF643" s="26"/>
      <c r="BG643" s="26"/>
      <c r="BH643" s="26"/>
      <c r="BI643" s="26"/>
      <c r="BJ643" s="26"/>
      <c r="BK643" s="27"/>
    </row>
    <row r="644" spans="2:63" ht="15.5">
      <c r="B644" s="25"/>
      <c r="C644" s="24"/>
      <c r="D644" s="24"/>
      <c r="E644" s="24"/>
      <c r="F644" s="24"/>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6"/>
      <c r="BC644" s="26"/>
      <c r="BD644" s="26"/>
      <c r="BE644" s="26"/>
      <c r="BF644" s="26"/>
      <c r="BG644" s="26"/>
      <c r="BH644" s="26"/>
      <c r="BI644" s="26"/>
      <c r="BJ644" s="26"/>
      <c r="BK644" s="27"/>
    </row>
    <row r="645" spans="2:63" ht="15.5">
      <c r="B645" s="25"/>
      <c r="C645" s="24"/>
      <c r="D645" s="24"/>
      <c r="E645" s="24"/>
      <c r="F645" s="24"/>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6"/>
      <c r="BC645" s="26"/>
      <c r="BD645" s="26"/>
      <c r="BE645" s="26"/>
      <c r="BF645" s="26"/>
      <c r="BG645" s="26"/>
      <c r="BH645" s="26"/>
      <c r="BI645" s="26"/>
      <c r="BJ645" s="26"/>
      <c r="BK645" s="27"/>
    </row>
    <row r="646" spans="2:63" ht="15.5">
      <c r="B646" s="25"/>
      <c r="C646" s="24"/>
      <c r="D646" s="24"/>
      <c r="E646" s="24"/>
      <c r="F646" s="24"/>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6"/>
      <c r="BC646" s="26"/>
      <c r="BD646" s="26"/>
      <c r="BE646" s="26"/>
      <c r="BF646" s="26"/>
      <c r="BG646" s="26"/>
      <c r="BH646" s="26"/>
      <c r="BI646" s="26"/>
      <c r="BJ646" s="26"/>
      <c r="BK646" s="27"/>
    </row>
    <row r="647" spans="2:63" ht="15.5">
      <c r="B647" s="25"/>
      <c r="C647" s="24"/>
      <c r="D647" s="24"/>
      <c r="E647" s="24"/>
      <c r="F647" s="24"/>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6"/>
      <c r="BC647" s="26"/>
      <c r="BD647" s="26"/>
      <c r="BE647" s="26"/>
      <c r="BF647" s="26"/>
      <c r="BG647" s="26"/>
      <c r="BH647" s="26"/>
      <c r="BI647" s="26"/>
      <c r="BJ647" s="26"/>
      <c r="BK647" s="27"/>
    </row>
    <row r="648" spans="2:63" ht="15.5">
      <c r="B648" s="25"/>
      <c r="C648" s="24"/>
      <c r="D648" s="24"/>
      <c r="E648" s="24"/>
      <c r="F648" s="24"/>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6"/>
      <c r="BC648" s="26"/>
      <c r="BD648" s="26"/>
      <c r="BE648" s="26"/>
      <c r="BF648" s="26"/>
      <c r="BG648" s="26"/>
      <c r="BH648" s="26"/>
      <c r="BI648" s="26"/>
      <c r="BJ648" s="26"/>
      <c r="BK648" s="27"/>
    </row>
    <row r="649" spans="2:63" ht="15.5">
      <c r="B649" s="25"/>
      <c r="C649" s="24"/>
      <c r="D649" s="24"/>
      <c r="E649" s="24"/>
      <c r="F649" s="24"/>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6"/>
      <c r="BC649" s="26"/>
      <c r="BD649" s="26"/>
      <c r="BE649" s="26"/>
      <c r="BF649" s="26"/>
      <c r="BG649" s="26"/>
      <c r="BH649" s="26"/>
      <c r="BI649" s="26"/>
      <c r="BJ649" s="26"/>
      <c r="BK649" s="27"/>
    </row>
    <row r="650" spans="2:63" ht="15.5">
      <c r="B650" s="25"/>
      <c r="C650" s="24"/>
      <c r="D650" s="24"/>
      <c r="E650" s="24"/>
      <c r="F650" s="24"/>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6"/>
      <c r="BC650" s="26"/>
      <c r="BD650" s="26"/>
      <c r="BE650" s="26"/>
      <c r="BF650" s="26"/>
      <c r="BG650" s="26"/>
      <c r="BH650" s="26"/>
      <c r="BI650" s="26"/>
      <c r="BJ650" s="26"/>
      <c r="BK650" s="27"/>
    </row>
    <row r="651" spans="2:63" ht="15.5">
      <c r="B651" s="25"/>
      <c r="C651" s="24"/>
      <c r="D651" s="24"/>
      <c r="E651" s="24"/>
      <c r="F651" s="24"/>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6"/>
      <c r="BC651" s="26"/>
      <c r="BD651" s="26"/>
      <c r="BE651" s="26"/>
      <c r="BF651" s="26"/>
      <c r="BG651" s="26"/>
      <c r="BH651" s="26"/>
      <c r="BI651" s="26"/>
      <c r="BJ651" s="26"/>
      <c r="BK651" s="27"/>
    </row>
    <row r="652" spans="2:63" ht="15.5">
      <c r="B652" s="25"/>
      <c r="C652" s="24"/>
      <c r="D652" s="24"/>
      <c r="E652" s="24"/>
      <c r="F652" s="24"/>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6"/>
      <c r="BC652" s="26"/>
      <c r="BD652" s="26"/>
      <c r="BE652" s="26"/>
      <c r="BF652" s="26"/>
      <c r="BG652" s="26"/>
      <c r="BH652" s="26"/>
      <c r="BI652" s="26"/>
      <c r="BJ652" s="26"/>
      <c r="BK652" s="27"/>
    </row>
    <row r="653" spans="2:63" ht="15.5">
      <c r="B653" s="25"/>
      <c r="C653" s="24"/>
      <c r="D653" s="24"/>
      <c r="E653" s="24"/>
      <c r="F653" s="24"/>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6"/>
      <c r="BC653" s="26"/>
      <c r="BD653" s="26"/>
      <c r="BE653" s="26"/>
      <c r="BF653" s="26"/>
      <c r="BG653" s="26"/>
      <c r="BH653" s="26"/>
      <c r="BI653" s="26"/>
      <c r="BJ653" s="26"/>
      <c r="BK653" s="27"/>
    </row>
    <row r="654" spans="2:63" ht="15.5">
      <c r="B654" s="25"/>
      <c r="C654" s="24"/>
      <c r="D654" s="24"/>
      <c r="E654" s="24"/>
      <c r="F654" s="24"/>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6"/>
      <c r="BC654" s="26"/>
      <c r="BD654" s="26"/>
      <c r="BE654" s="26"/>
      <c r="BF654" s="26"/>
      <c r="BG654" s="26"/>
      <c r="BH654" s="26"/>
      <c r="BI654" s="26"/>
      <c r="BJ654" s="26"/>
      <c r="BK654" s="27"/>
    </row>
    <row r="655" spans="2:63" ht="15.5">
      <c r="B655" s="25"/>
      <c r="C655" s="24"/>
      <c r="D655" s="24"/>
      <c r="E655" s="24"/>
      <c r="F655" s="24"/>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6"/>
      <c r="BC655" s="26"/>
      <c r="BD655" s="26"/>
      <c r="BE655" s="26"/>
      <c r="BF655" s="26"/>
      <c r="BG655" s="26"/>
      <c r="BH655" s="26"/>
      <c r="BI655" s="26"/>
      <c r="BJ655" s="26"/>
      <c r="BK655" s="27"/>
    </row>
    <row r="656" spans="2:63" ht="15.5">
      <c r="B656" s="25"/>
      <c r="C656" s="24"/>
      <c r="D656" s="24"/>
      <c r="E656" s="24"/>
      <c r="F656" s="24"/>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6"/>
      <c r="BC656" s="26"/>
      <c r="BD656" s="26"/>
      <c r="BE656" s="26"/>
      <c r="BF656" s="26"/>
      <c r="BG656" s="26"/>
      <c r="BH656" s="26"/>
      <c r="BI656" s="26"/>
      <c r="BJ656" s="26"/>
      <c r="BK656" s="27"/>
    </row>
    <row r="657" spans="2:63" ht="15.5">
      <c r="B657" s="25"/>
      <c r="C657" s="24"/>
      <c r="D657" s="24"/>
      <c r="E657" s="24"/>
      <c r="F657" s="24"/>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6"/>
      <c r="BC657" s="26"/>
      <c r="BD657" s="26"/>
      <c r="BE657" s="26"/>
      <c r="BF657" s="26"/>
      <c r="BG657" s="26"/>
      <c r="BH657" s="26"/>
      <c r="BI657" s="26"/>
      <c r="BJ657" s="26"/>
      <c r="BK657" s="27"/>
    </row>
    <row r="658" spans="2:63" ht="15.5">
      <c r="B658" s="25"/>
      <c r="C658" s="24"/>
      <c r="D658" s="24"/>
      <c r="E658" s="24"/>
      <c r="F658" s="24"/>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6"/>
      <c r="BC658" s="26"/>
      <c r="BD658" s="26"/>
      <c r="BE658" s="26"/>
      <c r="BF658" s="26"/>
      <c r="BG658" s="26"/>
      <c r="BH658" s="26"/>
      <c r="BI658" s="26"/>
      <c r="BJ658" s="26"/>
      <c r="BK658" s="27"/>
    </row>
    <row r="659" spans="2:63" ht="15.5">
      <c r="B659" s="25"/>
      <c r="C659" s="24"/>
      <c r="D659" s="24"/>
      <c r="E659" s="24"/>
      <c r="F659" s="24"/>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6"/>
      <c r="BC659" s="26"/>
      <c r="BD659" s="26"/>
      <c r="BE659" s="26"/>
      <c r="BF659" s="26"/>
      <c r="BG659" s="26"/>
      <c r="BH659" s="26"/>
      <c r="BI659" s="26"/>
      <c r="BJ659" s="26"/>
      <c r="BK659" s="27"/>
    </row>
    <row r="660" spans="2:63" ht="15.5">
      <c r="B660" s="25"/>
      <c r="C660" s="24"/>
      <c r="D660" s="24"/>
      <c r="E660" s="24"/>
      <c r="F660" s="24"/>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6"/>
      <c r="BC660" s="26"/>
      <c r="BD660" s="26"/>
      <c r="BE660" s="26"/>
      <c r="BF660" s="26"/>
      <c r="BG660" s="26"/>
      <c r="BH660" s="26"/>
      <c r="BI660" s="26"/>
      <c r="BJ660" s="26"/>
      <c r="BK660" s="27"/>
    </row>
    <row r="661" spans="2:63" ht="15.5">
      <c r="B661" s="25"/>
      <c r="C661" s="24"/>
      <c r="D661" s="24"/>
      <c r="E661" s="24"/>
      <c r="F661" s="24"/>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6"/>
      <c r="BC661" s="26"/>
      <c r="BD661" s="26"/>
      <c r="BE661" s="26"/>
      <c r="BF661" s="26"/>
      <c r="BG661" s="26"/>
      <c r="BH661" s="26"/>
      <c r="BI661" s="26"/>
      <c r="BJ661" s="26"/>
      <c r="BK661" s="27"/>
    </row>
    <row r="662" spans="2:63" ht="15.5">
      <c r="B662" s="25"/>
      <c r="C662" s="24"/>
      <c r="D662" s="24"/>
      <c r="E662" s="24"/>
      <c r="F662" s="24"/>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6"/>
      <c r="BC662" s="26"/>
      <c r="BD662" s="26"/>
      <c r="BE662" s="26"/>
      <c r="BF662" s="26"/>
      <c r="BG662" s="26"/>
      <c r="BH662" s="26"/>
      <c r="BI662" s="26"/>
      <c r="BJ662" s="26"/>
      <c r="BK662" s="27"/>
    </row>
    <row r="663" spans="2:63" ht="15.5">
      <c r="B663" s="25"/>
      <c r="C663" s="24"/>
      <c r="D663" s="24"/>
      <c r="E663" s="24"/>
      <c r="F663" s="24"/>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6"/>
      <c r="BC663" s="26"/>
      <c r="BD663" s="26"/>
      <c r="BE663" s="26"/>
      <c r="BF663" s="26"/>
      <c r="BG663" s="26"/>
      <c r="BH663" s="26"/>
      <c r="BI663" s="26"/>
      <c r="BJ663" s="26"/>
      <c r="BK663" s="27"/>
    </row>
    <row r="664" spans="2:63" ht="15.5">
      <c r="B664" s="25"/>
      <c r="C664" s="24"/>
      <c r="D664" s="24"/>
      <c r="E664" s="24"/>
      <c r="F664" s="24"/>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6"/>
      <c r="BC664" s="26"/>
      <c r="BD664" s="26"/>
      <c r="BE664" s="26"/>
      <c r="BF664" s="26"/>
      <c r="BG664" s="26"/>
      <c r="BH664" s="26"/>
      <c r="BI664" s="26"/>
      <c r="BJ664" s="26"/>
      <c r="BK664" s="27"/>
    </row>
    <row r="665" spans="2:63" ht="15.5">
      <c r="B665" s="25"/>
      <c r="C665" s="24"/>
      <c r="D665" s="24"/>
      <c r="E665" s="24"/>
      <c r="F665" s="24"/>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6"/>
      <c r="BC665" s="26"/>
      <c r="BD665" s="26"/>
      <c r="BE665" s="26"/>
      <c r="BF665" s="26"/>
      <c r="BG665" s="26"/>
      <c r="BH665" s="26"/>
      <c r="BI665" s="26"/>
      <c r="BJ665" s="26"/>
      <c r="BK665" s="27"/>
    </row>
    <row r="666" spans="2:63" ht="15.5">
      <c r="B666" s="25"/>
      <c r="C666" s="24"/>
      <c r="D666" s="24"/>
      <c r="E666" s="24"/>
      <c r="F666" s="24"/>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6"/>
      <c r="BC666" s="26"/>
      <c r="BD666" s="26"/>
      <c r="BE666" s="26"/>
      <c r="BF666" s="26"/>
      <c r="BG666" s="26"/>
      <c r="BH666" s="26"/>
      <c r="BI666" s="26"/>
      <c r="BJ666" s="26"/>
      <c r="BK666" s="27"/>
    </row>
    <row r="667" spans="2:63" ht="15.5">
      <c r="B667" s="25"/>
      <c r="C667" s="24"/>
      <c r="D667" s="24"/>
      <c r="E667" s="24"/>
      <c r="F667" s="24"/>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6"/>
      <c r="BC667" s="26"/>
      <c r="BD667" s="26"/>
      <c r="BE667" s="26"/>
      <c r="BF667" s="26"/>
      <c r="BG667" s="26"/>
      <c r="BH667" s="26"/>
      <c r="BI667" s="26"/>
      <c r="BJ667" s="26"/>
      <c r="BK667" s="27"/>
    </row>
    <row r="668" spans="2:63" ht="15.5">
      <c r="B668" s="25"/>
      <c r="C668" s="24"/>
      <c r="D668" s="24"/>
      <c r="E668" s="24"/>
      <c r="F668" s="24"/>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6"/>
      <c r="BC668" s="26"/>
      <c r="BD668" s="26"/>
      <c r="BE668" s="26"/>
      <c r="BF668" s="26"/>
      <c r="BG668" s="26"/>
      <c r="BH668" s="26"/>
      <c r="BI668" s="26"/>
      <c r="BJ668" s="26"/>
      <c r="BK668" s="27"/>
    </row>
    <row r="669" spans="2:63" ht="15.5">
      <c r="B669" s="25"/>
      <c r="C669" s="24"/>
      <c r="D669" s="24"/>
      <c r="E669" s="24"/>
      <c r="F669" s="24"/>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6"/>
      <c r="BC669" s="26"/>
      <c r="BD669" s="26"/>
      <c r="BE669" s="26"/>
      <c r="BF669" s="26"/>
      <c r="BG669" s="26"/>
      <c r="BH669" s="26"/>
      <c r="BI669" s="26"/>
      <c r="BJ669" s="26"/>
      <c r="BK669" s="27"/>
    </row>
    <row r="670" spans="2:63" ht="15.5">
      <c r="B670" s="25"/>
      <c r="C670" s="24"/>
      <c r="D670" s="24"/>
      <c r="E670" s="24"/>
      <c r="F670" s="24"/>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6"/>
      <c r="BC670" s="26"/>
      <c r="BD670" s="26"/>
      <c r="BE670" s="26"/>
      <c r="BF670" s="26"/>
      <c r="BG670" s="26"/>
      <c r="BH670" s="26"/>
      <c r="BI670" s="26"/>
      <c r="BJ670" s="26"/>
      <c r="BK670" s="27"/>
    </row>
    <row r="671" spans="2:63" ht="15.5">
      <c r="B671" s="25"/>
      <c r="C671" s="24"/>
      <c r="D671" s="24"/>
      <c r="E671" s="24"/>
      <c r="F671" s="24"/>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6"/>
      <c r="BC671" s="26"/>
      <c r="BD671" s="26"/>
      <c r="BE671" s="26"/>
      <c r="BF671" s="26"/>
      <c r="BG671" s="26"/>
      <c r="BH671" s="26"/>
      <c r="BI671" s="26"/>
      <c r="BJ671" s="26"/>
      <c r="BK671" s="27"/>
    </row>
    <row r="672" spans="2:63" ht="15.5">
      <c r="B672" s="25"/>
      <c r="C672" s="24"/>
      <c r="D672" s="24"/>
      <c r="E672" s="24"/>
      <c r="F672" s="24"/>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6"/>
      <c r="BC672" s="26"/>
      <c r="BD672" s="26"/>
      <c r="BE672" s="26"/>
      <c r="BF672" s="26"/>
      <c r="BG672" s="26"/>
      <c r="BH672" s="26"/>
      <c r="BI672" s="26"/>
      <c r="BJ672" s="26"/>
      <c r="BK672" s="27"/>
    </row>
    <row r="673" spans="2:63" ht="15.5">
      <c r="B673" s="25"/>
      <c r="C673" s="24"/>
      <c r="D673" s="24"/>
      <c r="E673" s="24"/>
      <c r="F673" s="24"/>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6"/>
      <c r="BC673" s="26"/>
      <c r="BD673" s="26"/>
      <c r="BE673" s="26"/>
      <c r="BF673" s="26"/>
      <c r="BG673" s="26"/>
      <c r="BH673" s="26"/>
      <c r="BI673" s="26"/>
      <c r="BJ673" s="26"/>
      <c r="BK673" s="27"/>
    </row>
    <row r="674" spans="2:63" ht="15.5">
      <c r="B674" s="25"/>
      <c r="C674" s="24"/>
      <c r="D674" s="24"/>
      <c r="E674" s="24"/>
      <c r="F674" s="24"/>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6"/>
      <c r="BC674" s="26"/>
      <c r="BD674" s="26"/>
      <c r="BE674" s="26"/>
      <c r="BF674" s="26"/>
      <c r="BG674" s="26"/>
      <c r="BH674" s="26"/>
      <c r="BI674" s="26"/>
      <c r="BJ674" s="26"/>
      <c r="BK674" s="27"/>
    </row>
    <row r="675" spans="2:63" ht="15.5">
      <c r="B675" s="25"/>
      <c r="C675" s="24"/>
      <c r="D675" s="24"/>
      <c r="E675" s="24"/>
      <c r="F675" s="24"/>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6"/>
      <c r="BC675" s="26"/>
      <c r="BD675" s="26"/>
      <c r="BE675" s="26"/>
      <c r="BF675" s="26"/>
      <c r="BG675" s="26"/>
      <c r="BH675" s="26"/>
      <c r="BI675" s="26"/>
      <c r="BJ675" s="26"/>
      <c r="BK675" s="27"/>
    </row>
    <row r="676" spans="2:63" ht="15.5">
      <c r="B676" s="25"/>
      <c r="C676" s="24"/>
      <c r="D676" s="24"/>
      <c r="E676" s="24"/>
      <c r="F676" s="24"/>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6"/>
      <c r="BC676" s="26"/>
      <c r="BD676" s="26"/>
      <c r="BE676" s="26"/>
      <c r="BF676" s="26"/>
      <c r="BG676" s="26"/>
      <c r="BH676" s="26"/>
      <c r="BI676" s="26"/>
      <c r="BJ676" s="26"/>
      <c r="BK676" s="27"/>
    </row>
    <row r="677" spans="2:63" ht="15.5">
      <c r="B677" s="25"/>
      <c r="C677" s="24"/>
      <c r="D677" s="24"/>
      <c r="E677" s="24"/>
      <c r="F677" s="24"/>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6"/>
      <c r="BC677" s="26"/>
      <c r="BD677" s="26"/>
      <c r="BE677" s="26"/>
      <c r="BF677" s="26"/>
      <c r="BG677" s="26"/>
      <c r="BH677" s="26"/>
      <c r="BI677" s="26"/>
      <c r="BJ677" s="26"/>
      <c r="BK677" s="27"/>
    </row>
    <row r="678" spans="2:63" ht="15.5">
      <c r="B678" s="25"/>
      <c r="C678" s="24"/>
      <c r="D678" s="24"/>
      <c r="E678" s="24"/>
      <c r="F678" s="24"/>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6"/>
      <c r="BC678" s="26"/>
      <c r="BD678" s="26"/>
      <c r="BE678" s="26"/>
      <c r="BF678" s="26"/>
      <c r="BG678" s="26"/>
      <c r="BH678" s="26"/>
      <c r="BI678" s="26"/>
      <c r="BJ678" s="26"/>
      <c r="BK678" s="27"/>
    </row>
    <row r="679" spans="2:63" ht="15.5">
      <c r="B679" s="25"/>
      <c r="C679" s="24"/>
      <c r="D679" s="24"/>
      <c r="E679" s="24"/>
      <c r="F679" s="24"/>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6"/>
      <c r="BC679" s="26"/>
      <c r="BD679" s="26"/>
      <c r="BE679" s="26"/>
      <c r="BF679" s="26"/>
      <c r="BG679" s="26"/>
      <c r="BH679" s="26"/>
      <c r="BI679" s="26"/>
      <c r="BJ679" s="26"/>
      <c r="BK679" s="27"/>
    </row>
    <row r="680" spans="2:63" ht="15.5">
      <c r="B680" s="25"/>
      <c r="C680" s="24"/>
      <c r="D680" s="24"/>
      <c r="E680" s="24"/>
      <c r="F680" s="24"/>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6"/>
      <c r="BC680" s="26"/>
      <c r="BD680" s="26"/>
      <c r="BE680" s="26"/>
      <c r="BF680" s="26"/>
      <c r="BG680" s="26"/>
      <c r="BH680" s="26"/>
      <c r="BI680" s="26"/>
      <c r="BJ680" s="26"/>
      <c r="BK680" s="27"/>
    </row>
    <row r="681" spans="2:63" ht="15.5">
      <c r="B681" s="25"/>
      <c r="C681" s="24"/>
      <c r="D681" s="24"/>
      <c r="E681" s="24"/>
      <c r="F681" s="24"/>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6"/>
      <c r="BC681" s="26"/>
      <c r="BD681" s="26"/>
      <c r="BE681" s="26"/>
      <c r="BF681" s="26"/>
      <c r="BG681" s="26"/>
      <c r="BH681" s="26"/>
      <c r="BI681" s="26"/>
      <c r="BJ681" s="26"/>
      <c r="BK681" s="27"/>
    </row>
    <row r="682" spans="2:63" ht="15.5">
      <c r="B682" s="25"/>
      <c r="C682" s="24"/>
      <c r="D682" s="24"/>
      <c r="E682" s="24"/>
      <c r="F682" s="24"/>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6"/>
      <c r="BC682" s="26"/>
      <c r="BD682" s="26"/>
      <c r="BE682" s="26"/>
      <c r="BF682" s="26"/>
      <c r="BG682" s="26"/>
      <c r="BH682" s="26"/>
      <c r="BI682" s="26"/>
      <c r="BJ682" s="26"/>
      <c r="BK682" s="27"/>
    </row>
    <row r="683" spans="2:63" ht="15.5">
      <c r="B683" s="25"/>
      <c r="C683" s="24"/>
      <c r="D683" s="24"/>
      <c r="E683" s="24"/>
      <c r="F683" s="24"/>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6"/>
      <c r="BC683" s="26"/>
      <c r="BD683" s="26"/>
      <c r="BE683" s="26"/>
      <c r="BF683" s="26"/>
      <c r="BG683" s="26"/>
      <c r="BH683" s="26"/>
      <c r="BI683" s="26"/>
      <c r="BJ683" s="26"/>
      <c r="BK683" s="27"/>
    </row>
    <row r="684" spans="2:63" ht="15.5">
      <c r="B684" s="25"/>
      <c r="C684" s="24"/>
      <c r="D684" s="24"/>
      <c r="E684" s="24"/>
      <c r="F684" s="24"/>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6"/>
      <c r="BC684" s="26"/>
      <c r="BD684" s="26"/>
      <c r="BE684" s="26"/>
      <c r="BF684" s="26"/>
      <c r="BG684" s="26"/>
      <c r="BH684" s="26"/>
      <c r="BI684" s="26"/>
      <c r="BJ684" s="26"/>
      <c r="BK684" s="27"/>
    </row>
    <row r="685" spans="2:63" ht="15.5">
      <c r="B685" s="25"/>
      <c r="C685" s="24"/>
      <c r="D685" s="24"/>
      <c r="E685" s="24"/>
      <c r="F685" s="24"/>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6"/>
      <c r="BC685" s="26"/>
      <c r="BD685" s="26"/>
      <c r="BE685" s="26"/>
      <c r="BF685" s="26"/>
      <c r="BG685" s="26"/>
      <c r="BH685" s="26"/>
      <c r="BI685" s="26"/>
      <c r="BJ685" s="26"/>
      <c r="BK685" s="27"/>
    </row>
    <row r="686" spans="2:63" ht="15.5">
      <c r="B686" s="25"/>
      <c r="C686" s="24"/>
      <c r="D686" s="24"/>
      <c r="E686" s="24"/>
      <c r="F686" s="24"/>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6"/>
      <c r="BC686" s="26"/>
      <c r="BD686" s="26"/>
      <c r="BE686" s="26"/>
      <c r="BF686" s="26"/>
      <c r="BG686" s="26"/>
      <c r="BH686" s="26"/>
      <c r="BI686" s="26"/>
      <c r="BJ686" s="26"/>
      <c r="BK686" s="27"/>
    </row>
    <row r="687" spans="2:63" ht="15.5">
      <c r="B687" s="25"/>
      <c r="C687" s="24"/>
      <c r="D687" s="24"/>
      <c r="E687" s="24"/>
      <c r="F687" s="24"/>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6"/>
      <c r="BC687" s="26"/>
      <c r="BD687" s="26"/>
      <c r="BE687" s="26"/>
      <c r="BF687" s="26"/>
      <c r="BG687" s="26"/>
      <c r="BH687" s="26"/>
      <c r="BI687" s="26"/>
      <c r="BJ687" s="26"/>
      <c r="BK687" s="27"/>
    </row>
    <row r="688" spans="2:63" ht="15.5">
      <c r="B688" s="25"/>
      <c r="C688" s="24"/>
      <c r="D688" s="24"/>
      <c r="E688" s="24"/>
      <c r="F688" s="24"/>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6"/>
      <c r="BC688" s="26"/>
      <c r="BD688" s="26"/>
      <c r="BE688" s="26"/>
      <c r="BF688" s="26"/>
      <c r="BG688" s="26"/>
      <c r="BH688" s="26"/>
      <c r="BI688" s="26"/>
      <c r="BJ688" s="26"/>
      <c r="BK688" s="27"/>
    </row>
    <row r="689" spans="2:63" ht="15.5">
      <c r="B689" s="25"/>
      <c r="C689" s="24"/>
      <c r="D689" s="24"/>
      <c r="E689" s="24"/>
      <c r="F689" s="24"/>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6"/>
      <c r="BC689" s="26"/>
      <c r="BD689" s="26"/>
      <c r="BE689" s="26"/>
      <c r="BF689" s="26"/>
      <c r="BG689" s="26"/>
      <c r="BH689" s="26"/>
      <c r="BI689" s="26"/>
      <c r="BJ689" s="26"/>
      <c r="BK689" s="27"/>
    </row>
    <row r="690" spans="2:63" ht="15.5">
      <c r="B690" s="25"/>
      <c r="C690" s="24"/>
      <c r="D690" s="24"/>
      <c r="E690" s="24"/>
      <c r="F690" s="24"/>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6"/>
      <c r="BC690" s="26"/>
      <c r="BD690" s="26"/>
      <c r="BE690" s="26"/>
      <c r="BF690" s="26"/>
      <c r="BG690" s="26"/>
      <c r="BH690" s="26"/>
      <c r="BI690" s="26"/>
      <c r="BJ690" s="26"/>
      <c r="BK690" s="27"/>
    </row>
    <row r="691" spans="2:63" ht="15.5">
      <c r="B691" s="25"/>
      <c r="C691" s="24"/>
      <c r="D691" s="24"/>
      <c r="E691" s="24"/>
      <c r="F691" s="24"/>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6"/>
      <c r="BC691" s="26"/>
      <c r="BD691" s="26"/>
      <c r="BE691" s="26"/>
      <c r="BF691" s="26"/>
      <c r="BG691" s="26"/>
      <c r="BH691" s="26"/>
      <c r="BI691" s="26"/>
      <c r="BJ691" s="26"/>
      <c r="BK691" s="27"/>
    </row>
    <row r="692" spans="2:63" ht="15.5">
      <c r="B692" s="25"/>
      <c r="C692" s="24"/>
      <c r="D692" s="24"/>
      <c r="E692" s="24"/>
      <c r="F692" s="24"/>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6"/>
      <c r="BC692" s="26"/>
      <c r="BD692" s="26"/>
      <c r="BE692" s="26"/>
      <c r="BF692" s="26"/>
      <c r="BG692" s="26"/>
      <c r="BH692" s="26"/>
      <c r="BI692" s="26"/>
      <c r="BJ692" s="26"/>
      <c r="BK692" s="27"/>
    </row>
    <row r="693" spans="2:63" ht="15.5">
      <c r="B693" s="25"/>
      <c r="C693" s="24"/>
      <c r="D693" s="24"/>
      <c r="E693" s="24"/>
      <c r="F693" s="24"/>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6"/>
      <c r="BC693" s="26"/>
      <c r="BD693" s="26"/>
      <c r="BE693" s="26"/>
      <c r="BF693" s="26"/>
      <c r="BG693" s="26"/>
      <c r="BH693" s="26"/>
      <c r="BI693" s="26"/>
      <c r="BJ693" s="26"/>
      <c r="BK693" s="27"/>
    </row>
    <row r="694" spans="2:63" ht="15.5">
      <c r="B694" s="25"/>
      <c r="C694" s="24"/>
      <c r="D694" s="24"/>
      <c r="E694" s="24"/>
      <c r="F694" s="24"/>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6"/>
      <c r="BC694" s="26"/>
      <c r="BD694" s="26"/>
      <c r="BE694" s="26"/>
      <c r="BF694" s="26"/>
      <c r="BG694" s="26"/>
      <c r="BH694" s="26"/>
      <c r="BI694" s="26"/>
      <c r="BJ694" s="26"/>
      <c r="BK694" s="27"/>
    </row>
    <row r="695" spans="2:63" ht="15.5">
      <c r="B695" s="25"/>
      <c r="C695" s="24"/>
      <c r="D695" s="24"/>
      <c r="E695" s="24"/>
      <c r="F695" s="24"/>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6"/>
      <c r="BC695" s="26"/>
      <c r="BD695" s="26"/>
      <c r="BE695" s="26"/>
      <c r="BF695" s="26"/>
      <c r="BG695" s="26"/>
      <c r="BH695" s="26"/>
      <c r="BI695" s="26"/>
      <c r="BJ695" s="26"/>
      <c r="BK695" s="27"/>
    </row>
    <row r="696" spans="2:63" ht="15.5">
      <c r="B696" s="25"/>
      <c r="C696" s="24"/>
      <c r="D696" s="24"/>
      <c r="E696" s="24"/>
      <c r="F696" s="24"/>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6"/>
      <c r="BC696" s="26"/>
      <c r="BD696" s="26"/>
      <c r="BE696" s="26"/>
      <c r="BF696" s="26"/>
      <c r="BG696" s="26"/>
      <c r="BH696" s="26"/>
      <c r="BI696" s="26"/>
      <c r="BJ696" s="26"/>
      <c r="BK696" s="27"/>
    </row>
    <row r="697" spans="2:63" ht="15.5">
      <c r="B697" s="25"/>
      <c r="C697" s="24"/>
      <c r="D697" s="24"/>
      <c r="E697" s="24"/>
      <c r="F697" s="24"/>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6"/>
      <c r="BC697" s="26"/>
      <c r="BD697" s="26"/>
      <c r="BE697" s="26"/>
      <c r="BF697" s="26"/>
      <c r="BG697" s="26"/>
      <c r="BH697" s="26"/>
      <c r="BI697" s="26"/>
      <c r="BJ697" s="26"/>
      <c r="BK697" s="27"/>
    </row>
    <row r="698" spans="2:63" ht="15.5">
      <c r="B698" s="25"/>
      <c r="C698" s="24"/>
      <c r="D698" s="24"/>
      <c r="E698" s="24"/>
      <c r="F698" s="24"/>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6"/>
      <c r="BC698" s="26"/>
      <c r="BD698" s="26"/>
      <c r="BE698" s="26"/>
      <c r="BF698" s="26"/>
      <c r="BG698" s="26"/>
      <c r="BH698" s="26"/>
      <c r="BI698" s="26"/>
      <c r="BJ698" s="26"/>
      <c r="BK698" s="27"/>
    </row>
    <row r="699" spans="2:63" ht="15.5">
      <c r="B699" s="25"/>
      <c r="C699" s="24"/>
      <c r="D699" s="24"/>
      <c r="E699" s="24"/>
      <c r="F699" s="24"/>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6"/>
      <c r="BC699" s="26"/>
      <c r="BD699" s="26"/>
      <c r="BE699" s="26"/>
      <c r="BF699" s="26"/>
      <c r="BG699" s="26"/>
      <c r="BH699" s="26"/>
      <c r="BI699" s="26"/>
      <c r="BJ699" s="26"/>
      <c r="BK699" s="27"/>
    </row>
    <row r="700" spans="2:63" ht="15.5">
      <c r="B700" s="25"/>
      <c r="C700" s="24"/>
      <c r="D700" s="24"/>
      <c r="E700" s="24"/>
      <c r="F700" s="24"/>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6"/>
      <c r="BC700" s="26"/>
      <c r="BD700" s="26"/>
      <c r="BE700" s="26"/>
      <c r="BF700" s="26"/>
      <c r="BG700" s="26"/>
      <c r="BH700" s="26"/>
      <c r="BI700" s="26"/>
      <c r="BJ700" s="26"/>
      <c r="BK700" s="27"/>
    </row>
    <row r="701" spans="2:63" ht="15.5">
      <c r="B701" s="25"/>
      <c r="C701" s="24"/>
      <c r="D701" s="24"/>
      <c r="E701" s="24"/>
      <c r="F701" s="24"/>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6"/>
      <c r="BC701" s="26"/>
      <c r="BD701" s="26"/>
      <c r="BE701" s="26"/>
      <c r="BF701" s="26"/>
      <c r="BG701" s="26"/>
      <c r="BH701" s="26"/>
      <c r="BI701" s="26"/>
      <c r="BJ701" s="26"/>
      <c r="BK701" s="27"/>
    </row>
    <row r="702" spans="2:63" ht="15.5">
      <c r="B702" s="25"/>
      <c r="C702" s="24"/>
      <c r="D702" s="24"/>
      <c r="E702" s="24"/>
      <c r="F702" s="24"/>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6"/>
      <c r="BC702" s="26"/>
      <c r="BD702" s="26"/>
      <c r="BE702" s="26"/>
      <c r="BF702" s="26"/>
      <c r="BG702" s="26"/>
      <c r="BH702" s="26"/>
      <c r="BI702" s="26"/>
      <c r="BJ702" s="26"/>
      <c r="BK702" s="27"/>
    </row>
    <row r="703" spans="2:63" ht="15.5">
      <c r="B703" s="25"/>
      <c r="C703" s="24"/>
      <c r="D703" s="24"/>
      <c r="E703" s="24"/>
      <c r="F703" s="24"/>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6"/>
      <c r="BC703" s="26"/>
      <c r="BD703" s="26"/>
      <c r="BE703" s="26"/>
      <c r="BF703" s="26"/>
      <c r="BG703" s="26"/>
      <c r="BH703" s="26"/>
      <c r="BI703" s="26"/>
      <c r="BJ703" s="26"/>
      <c r="BK703" s="27"/>
    </row>
    <row r="704" spans="2:63" ht="15.5">
      <c r="B704" s="25"/>
      <c r="C704" s="24"/>
      <c r="D704" s="24"/>
      <c r="E704" s="24"/>
      <c r="F704" s="24"/>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6"/>
      <c r="BC704" s="26"/>
      <c r="BD704" s="26"/>
      <c r="BE704" s="26"/>
      <c r="BF704" s="26"/>
      <c r="BG704" s="26"/>
      <c r="BH704" s="26"/>
      <c r="BI704" s="26"/>
      <c r="BJ704" s="26"/>
      <c r="BK704" s="27"/>
    </row>
    <row r="705" spans="2:63" ht="15.5">
      <c r="B705" s="25"/>
      <c r="C705" s="24"/>
      <c r="D705" s="24"/>
      <c r="E705" s="24"/>
      <c r="F705" s="24"/>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6"/>
      <c r="BC705" s="26"/>
      <c r="BD705" s="26"/>
      <c r="BE705" s="26"/>
      <c r="BF705" s="26"/>
      <c r="BG705" s="26"/>
      <c r="BH705" s="26"/>
      <c r="BI705" s="26"/>
      <c r="BJ705" s="26"/>
      <c r="BK705" s="27"/>
    </row>
    <row r="706" spans="2:63" ht="15.5">
      <c r="B706" s="25"/>
      <c r="C706" s="24"/>
      <c r="D706" s="24"/>
      <c r="E706" s="24"/>
      <c r="F706" s="24"/>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6"/>
      <c r="BC706" s="26"/>
      <c r="BD706" s="26"/>
      <c r="BE706" s="26"/>
      <c r="BF706" s="26"/>
      <c r="BG706" s="26"/>
      <c r="BH706" s="26"/>
      <c r="BI706" s="26"/>
      <c r="BJ706" s="26"/>
      <c r="BK706" s="27"/>
    </row>
    <row r="707" spans="2:63" ht="15.5">
      <c r="B707" s="25"/>
      <c r="C707" s="24"/>
      <c r="D707" s="24"/>
      <c r="E707" s="24"/>
      <c r="F707" s="24"/>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6"/>
      <c r="BC707" s="26"/>
      <c r="BD707" s="26"/>
      <c r="BE707" s="26"/>
      <c r="BF707" s="26"/>
      <c r="BG707" s="26"/>
      <c r="BH707" s="26"/>
      <c r="BI707" s="26"/>
      <c r="BJ707" s="26"/>
      <c r="BK707" s="27"/>
    </row>
    <row r="708" spans="2:63" ht="15.5">
      <c r="B708" s="25"/>
      <c r="C708" s="24"/>
      <c r="D708" s="24"/>
      <c r="E708" s="24"/>
      <c r="F708" s="24"/>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6"/>
      <c r="BC708" s="26"/>
      <c r="BD708" s="26"/>
      <c r="BE708" s="26"/>
      <c r="BF708" s="26"/>
      <c r="BG708" s="26"/>
      <c r="BH708" s="26"/>
      <c r="BI708" s="26"/>
      <c r="BJ708" s="26"/>
      <c r="BK708" s="27"/>
    </row>
    <row r="709" spans="2:63" ht="15.5">
      <c r="B709" s="25"/>
      <c r="C709" s="24"/>
      <c r="D709" s="24"/>
      <c r="E709" s="24"/>
      <c r="F709" s="24"/>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6"/>
      <c r="BC709" s="26"/>
      <c r="BD709" s="26"/>
      <c r="BE709" s="26"/>
      <c r="BF709" s="26"/>
      <c r="BG709" s="26"/>
      <c r="BH709" s="26"/>
      <c r="BI709" s="26"/>
      <c r="BJ709" s="26"/>
      <c r="BK709" s="27"/>
    </row>
    <row r="710" spans="2:63" ht="15.5">
      <c r="B710" s="25"/>
      <c r="C710" s="24"/>
      <c r="D710" s="24"/>
      <c r="E710" s="24"/>
      <c r="F710" s="24"/>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6"/>
      <c r="BC710" s="26"/>
      <c r="BD710" s="26"/>
      <c r="BE710" s="26"/>
      <c r="BF710" s="26"/>
      <c r="BG710" s="26"/>
      <c r="BH710" s="26"/>
      <c r="BI710" s="26"/>
      <c r="BJ710" s="26"/>
      <c r="BK710" s="27"/>
    </row>
    <row r="711" spans="2:63" ht="15.5">
      <c r="B711" s="25"/>
      <c r="C711" s="24"/>
      <c r="D711" s="24"/>
      <c r="E711" s="24"/>
      <c r="F711" s="24"/>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6"/>
      <c r="BC711" s="26"/>
      <c r="BD711" s="26"/>
      <c r="BE711" s="26"/>
      <c r="BF711" s="26"/>
      <c r="BG711" s="26"/>
      <c r="BH711" s="26"/>
      <c r="BI711" s="26"/>
      <c r="BJ711" s="26"/>
      <c r="BK711" s="27"/>
    </row>
    <row r="712" spans="2:63" ht="15.5">
      <c r="B712" s="25"/>
      <c r="C712" s="24"/>
      <c r="D712" s="24"/>
      <c r="E712" s="24"/>
      <c r="F712" s="24"/>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6"/>
      <c r="BC712" s="26"/>
      <c r="BD712" s="26"/>
      <c r="BE712" s="26"/>
      <c r="BF712" s="26"/>
      <c r="BG712" s="26"/>
      <c r="BH712" s="26"/>
      <c r="BI712" s="26"/>
      <c r="BJ712" s="26"/>
      <c r="BK712" s="27"/>
    </row>
    <row r="713" spans="2:63" ht="15.5">
      <c r="B713" s="25"/>
      <c r="C713" s="24"/>
      <c r="D713" s="24"/>
      <c r="E713" s="24"/>
      <c r="F713" s="24"/>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6"/>
      <c r="BC713" s="26"/>
      <c r="BD713" s="26"/>
      <c r="BE713" s="26"/>
      <c r="BF713" s="26"/>
      <c r="BG713" s="26"/>
      <c r="BH713" s="26"/>
      <c r="BI713" s="26"/>
      <c r="BJ713" s="26"/>
      <c r="BK713" s="27"/>
    </row>
    <row r="714" spans="2:63" ht="15.5">
      <c r="B714" s="25"/>
      <c r="C714" s="24"/>
      <c r="D714" s="24"/>
      <c r="E714" s="24"/>
      <c r="F714" s="24"/>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6"/>
      <c r="BC714" s="26"/>
      <c r="BD714" s="26"/>
      <c r="BE714" s="26"/>
      <c r="BF714" s="26"/>
      <c r="BG714" s="26"/>
      <c r="BH714" s="26"/>
      <c r="BI714" s="26"/>
      <c r="BJ714" s="26"/>
      <c r="BK714" s="27"/>
    </row>
    <row r="715" spans="2:63" ht="15.5">
      <c r="B715" s="25"/>
      <c r="C715" s="24"/>
      <c r="D715" s="24"/>
      <c r="E715" s="24"/>
      <c r="F715" s="24"/>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6"/>
      <c r="BC715" s="26"/>
      <c r="BD715" s="26"/>
      <c r="BE715" s="26"/>
      <c r="BF715" s="26"/>
      <c r="BG715" s="26"/>
      <c r="BH715" s="26"/>
      <c r="BI715" s="26"/>
      <c r="BJ715" s="26"/>
      <c r="BK715" s="27"/>
    </row>
    <row r="716" spans="2:63" ht="15.5">
      <c r="B716" s="25"/>
      <c r="C716" s="24"/>
      <c r="D716" s="24"/>
      <c r="E716" s="24"/>
      <c r="F716" s="24"/>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6"/>
      <c r="BC716" s="26"/>
      <c r="BD716" s="26"/>
      <c r="BE716" s="26"/>
      <c r="BF716" s="26"/>
      <c r="BG716" s="26"/>
      <c r="BH716" s="26"/>
      <c r="BI716" s="26"/>
      <c r="BJ716" s="26"/>
      <c r="BK716" s="27"/>
    </row>
    <row r="717" spans="2:63" ht="15.5">
      <c r="B717" s="25"/>
      <c r="C717" s="24"/>
      <c r="D717" s="24"/>
      <c r="E717" s="24"/>
      <c r="F717" s="24"/>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6"/>
      <c r="BC717" s="26"/>
      <c r="BD717" s="26"/>
      <c r="BE717" s="26"/>
      <c r="BF717" s="26"/>
      <c r="BG717" s="26"/>
      <c r="BH717" s="26"/>
      <c r="BI717" s="26"/>
      <c r="BJ717" s="26"/>
      <c r="BK717" s="27"/>
    </row>
    <row r="718" spans="2:63" ht="15.5">
      <c r="B718" s="25"/>
      <c r="C718" s="24"/>
      <c r="D718" s="24"/>
      <c r="E718" s="24"/>
      <c r="F718" s="24"/>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6"/>
      <c r="BC718" s="26"/>
      <c r="BD718" s="26"/>
      <c r="BE718" s="26"/>
      <c r="BF718" s="26"/>
      <c r="BG718" s="26"/>
      <c r="BH718" s="26"/>
      <c r="BI718" s="26"/>
      <c r="BJ718" s="26"/>
      <c r="BK718" s="27"/>
    </row>
    <row r="719" spans="2:63" ht="15.5">
      <c r="B719" s="25"/>
      <c r="C719" s="24"/>
      <c r="D719" s="24"/>
      <c r="E719" s="24"/>
      <c r="F719" s="24"/>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6"/>
      <c r="BC719" s="26"/>
      <c r="BD719" s="26"/>
      <c r="BE719" s="26"/>
      <c r="BF719" s="26"/>
      <c r="BG719" s="26"/>
      <c r="BH719" s="26"/>
      <c r="BI719" s="26"/>
      <c r="BJ719" s="26"/>
      <c r="BK719" s="27"/>
    </row>
    <row r="720" spans="2:63" ht="15.5">
      <c r="B720" s="25"/>
      <c r="C720" s="24"/>
      <c r="D720" s="24"/>
      <c r="E720" s="24"/>
      <c r="F720" s="24"/>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6"/>
      <c r="BC720" s="26"/>
      <c r="BD720" s="26"/>
      <c r="BE720" s="26"/>
      <c r="BF720" s="26"/>
      <c r="BG720" s="26"/>
      <c r="BH720" s="26"/>
      <c r="BI720" s="26"/>
      <c r="BJ720" s="26"/>
      <c r="BK720" s="27"/>
    </row>
    <row r="721" spans="2:63" ht="15.5">
      <c r="B721" s="25"/>
      <c r="C721" s="24"/>
      <c r="D721" s="24"/>
      <c r="E721" s="24"/>
      <c r="F721" s="24"/>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6"/>
      <c r="BC721" s="26"/>
      <c r="BD721" s="26"/>
      <c r="BE721" s="26"/>
      <c r="BF721" s="26"/>
      <c r="BG721" s="26"/>
      <c r="BH721" s="26"/>
      <c r="BI721" s="26"/>
      <c r="BJ721" s="26"/>
      <c r="BK721" s="27"/>
    </row>
    <row r="722" spans="2:63" ht="15.5">
      <c r="B722" s="25"/>
      <c r="C722" s="24"/>
      <c r="D722" s="24"/>
      <c r="E722" s="24"/>
      <c r="F722" s="24"/>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6"/>
      <c r="BC722" s="26"/>
      <c r="BD722" s="26"/>
      <c r="BE722" s="26"/>
      <c r="BF722" s="26"/>
      <c r="BG722" s="26"/>
      <c r="BH722" s="26"/>
      <c r="BI722" s="26"/>
      <c r="BJ722" s="26"/>
      <c r="BK722" s="27"/>
    </row>
    <row r="723" spans="2:63" ht="15.5">
      <c r="B723" s="25"/>
      <c r="C723" s="24"/>
      <c r="D723" s="24"/>
      <c r="E723" s="24"/>
      <c r="F723" s="24"/>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6"/>
      <c r="BC723" s="26"/>
      <c r="BD723" s="26"/>
      <c r="BE723" s="26"/>
      <c r="BF723" s="26"/>
      <c r="BG723" s="26"/>
      <c r="BH723" s="26"/>
      <c r="BI723" s="26"/>
      <c r="BJ723" s="26"/>
      <c r="BK723" s="27"/>
    </row>
    <row r="724" spans="2:63" ht="15.5">
      <c r="B724" s="25"/>
      <c r="C724" s="24"/>
      <c r="D724" s="24"/>
      <c r="E724" s="24"/>
      <c r="F724" s="24"/>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6"/>
      <c r="BC724" s="26"/>
      <c r="BD724" s="26"/>
      <c r="BE724" s="26"/>
      <c r="BF724" s="26"/>
      <c r="BG724" s="26"/>
      <c r="BH724" s="26"/>
      <c r="BI724" s="26"/>
      <c r="BJ724" s="26"/>
      <c r="BK724" s="27"/>
    </row>
    <row r="725" spans="2:63" ht="15.5">
      <c r="B725" s="25"/>
      <c r="C725" s="24"/>
      <c r="D725" s="24"/>
      <c r="E725" s="24"/>
      <c r="F725" s="24"/>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6"/>
      <c r="BC725" s="26"/>
      <c r="BD725" s="26"/>
      <c r="BE725" s="26"/>
      <c r="BF725" s="26"/>
      <c r="BG725" s="26"/>
      <c r="BH725" s="26"/>
      <c r="BI725" s="26"/>
      <c r="BJ725" s="26"/>
      <c r="BK725" s="27"/>
    </row>
    <row r="726" spans="2:63" ht="15.5">
      <c r="B726" s="25"/>
      <c r="C726" s="24"/>
      <c r="D726" s="24"/>
      <c r="E726" s="24"/>
      <c r="F726" s="24"/>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6"/>
      <c r="BC726" s="26"/>
      <c r="BD726" s="26"/>
      <c r="BE726" s="26"/>
      <c r="BF726" s="26"/>
      <c r="BG726" s="26"/>
      <c r="BH726" s="26"/>
      <c r="BI726" s="26"/>
      <c r="BJ726" s="26"/>
      <c r="BK726" s="27"/>
    </row>
    <row r="727" spans="2:63" ht="15.5">
      <c r="B727" s="25"/>
      <c r="C727" s="24"/>
      <c r="D727" s="24"/>
      <c r="E727" s="24"/>
      <c r="F727" s="24"/>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6"/>
      <c r="BC727" s="26"/>
      <c r="BD727" s="26"/>
      <c r="BE727" s="26"/>
      <c r="BF727" s="26"/>
      <c r="BG727" s="26"/>
      <c r="BH727" s="26"/>
      <c r="BI727" s="26"/>
      <c r="BJ727" s="26"/>
      <c r="BK727" s="27"/>
    </row>
    <row r="728" spans="2:63" ht="15.5">
      <c r="B728" s="25"/>
      <c r="C728" s="24"/>
      <c r="D728" s="24"/>
      <c r="E728" s="24"/>
      <c r="F728" s="24"/>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6"/>
      <c r="BC728" s="26"/>
      <c r="BD728" s="26"/>
      <c r="BE728" s="26"/>
      <c r="BF728" s="26"/>
      <c r="BG728" s="26"/>
      <c r="BH728" s="26"/>
      <c r="BI728" s="26"/>
      <c r="BJ728" s="26"/>
      <c r="BK728" s="27"/>
    </row>
    <row r="729" spans="2:63" ht="15.5">
      <c r="B729" s="25"/>
      <c r="C729" s="24"/>
      <c r="D729" s="24"/>
      <c r="E729" s="24"/>
      <c r="F729" s="24"/>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6"/>
      <c r="BC729" s="26"/>
      <c r="BD729" s="26"/>
      <c r="BE729" s="26"/>
      <c r="BF729" s="26"/>
      <c r="BG729" s="26"/>
      <c r="BH729" s="26"/>
      <c r="BI729" s="26"/>
      <c r="BJ729" s="26"/>
      <c r="BK729" s="27"/>
    </row>
    <row r="730" spans="2:63" ht="15.5">
      <c r="B730" s="25"/>
      <c r="C730" s="24"/>
      <c r="D730" s="24"/>
      <c r="E730" s="24"/>
      <c r="F730" s="24"/>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6"/>
      <c r="BC730" s="26"/>
      <c r="BD730" s="26"/>
      <c r="BE730" s="26"/>
      <c r="BF730" s="26"/>
      <c r="BG730" s="26"/>
      <c r="BH730" s="26"/>
      <c r="BI730" s="26"/>
      <c r="BJ730" s="26"/>
      <c r="BK730" s="27"/>
    </row>
    <row r="731" spans="2:63" ht="15.5">
      <c r="B731" s="25"/>
      <c r="C731" s="24"/>
      <c r="D731" s="24"/>
      <c r="E731" s="24"/>
      <c r="F731" s="24"/>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6"/>
      <c r="BC731" s="26"/>
      <c r="BD731" s="26"/>
      <c r="BE731" s="26"/>
      <c r="BF731" s="26"/>
      <c r="BG731" s="26"/>
      <c r="BH731" s="26"/>
      <c r="BI731" s="26"/>
      <c r="BJ731" s="26"/>
      <c r="BK731" s="27"/>
    </row>
    <row r="732" spans="2:63" ht="15.5">
      <c r="B732" s="25"/>
      <c r="C732" s="24"/>
      <c r="D732" s="24"/>
      <c r="E732" s="24"/>
      <c r="F732" s="24"/>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6"/>
      <c r="BC732" s="26"/>
      <c r="BD732" s="26"/>
      <c r="BE732" s="26"/>
      <c r="BF732" s="26"/>
      <c r="BG732" s="26"/>
      <c r="BH732" s="26"/>
      <c r="BI732" s="26"/>
      <c r="BJ732" s="26"/>
      <c r="BK732" s="27"/>
    </row>
    <row r="733" spans="2:63" ht="15.5">
      <c r="B733" s="25"/>
      <c r="C733" s="24"/>
      <c r="D733" s="24"/>
      <c r="E733" s="24"/>
      <c r="F733" s="24"/>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6"/>
      <c r="BC733" s="26"/>
      <c r="BD733" s="26"/>
      <c r="BE733" s="26"/>
      <c r="BF733" s="26"/>
      <c r="BG733" s="26"/>
      <c r="BH733" s="26"/>
      <c r="BI733" s="26"/>
      <c r="BJ733" s="26"/>
      <c r="BK733" s="27"/>
    </row>
    <row r="734" spans="2:63" ht="15.5">
      <c r="B734" s="25"/>
      <c r="C734" s="24"/>
      <c r="D734" s="24"/>
      <c r="E734" s="24"/>
      <c r="F734" s="24"/>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6"/>
      <c r="BC734" s="26"/>
      <c r="BD734" s="26"/>
      <c r="BE734" s="26"/>
      <c r="BF734" s="26"/>
      <c r="BG734" s="26"/>
      <c r="BH734" s="26"/>
      <c r="BI734" s="26"/>
      <c r="BJ734" s="26"/>
      <c r="BK734" s="27"/>
    </row>
    <row r="735" spans="2:63" ht="15.5">
      <c r="B735" s="25"/>
      <c r="C735" s="24"/>
      <c r="D735" s="24"/>
      <c r="E735" s="24"/>
      <c r="F735" s="24"/>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6"/>
      <c r="BC735" s="26"/>
      <c r="BD735" s="26"/>
      <c r="BE735" s="26"/>
      <c r="BF735" s="26"/>
      <c r="BG735" s="26"/>
      <c r="BH735" s="26"/>
      <c r="BI735" s="26"/>
      <c r="BJ735" s="26"/>
      <c r="BK735" s="27"/>
    </row>
    <row r="736" spans="2:63" ht="15.5">
      <c r="B736" s="25"/>
      <c r="C736" s="24"/>
      <c r="D736" s="24"/>
      <c r="E736" s="24"/>
      <c r="F736" s="24"/>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6"/>
      <c r="BC736" s="26"/>
      <c r="BD736" s="26"/>
      <c r="BE736" s="26"/>
      <c r="BF736" s="26"/>
      <c r="BG736" s="26"/>
      <c r="BH736" s="26"/>
      <c r="BI736" s="26"/>
      <c r="BJ736" s="26"/>
      <c r="BK736" s="27"/>
    </row>
    <row r="737" spans="2:63" ht="15.5">
      <c r="B737" s="25"/>
      <c r="C737" s="24"/>
      <c r="D737" s="24"/>
      <c r="E737" s="24"/>
      <c r="F737" s="24"/>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6"/>
      <c r="BC737" s="26"/>
      <c r="BD737" s="26"/>
      <c r="BE737" s="26"/>
      <c r="BF737" s="26"/>
      <c r="BG737" s="26"/>
      <c r="BH737" s="26"/>
      <c r="BI737" s="26"/>
      <c r="BJ737" s="26"/>
      <c r="BK737" s="27"/>
    </row>
    <row r="738" spans="2:63" ht="15.5">
      <c r="B738" s="25"/>
      <c r="C738" s="24"/>
      <c r="D738" s="24"/>
      <c r="E738" s="24"/>
      <c r="F738" s="24"/>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6"/>
      <c r="BC738" s="26"/>
      <c r="BD738" s="26"/>
      <c r="BE738" s="26"/>
      <c r="BF738" s="26"/>
      <c r="BG738" s="26"/>
      <c r="BH738" s="26"/>
      <c r="BI738" s="26"/>
      <c r="BJ738" s="26"/>
      <c r="BK738" s="27"/>
    </row>
    <row r="739" spans="2:63" ht="15.5">
      <c r="B739" s="25"/>
      <c r="C739" s="24"/>
      <c r="D739" s="24"/>
      <c r="E739" s="24"/>
      <c r="F739" s="24"/>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6"/>
      <c r="BC739" s="26"/>
      <c r="BD739" s="26"/>
      <c r="BE739" s="26"/>
      <c r="BF739" s="26"/>
      <c r="BG739" s="26"/>
      <c r="BH739" s="26"/>
      <c r="BI739" s="26"/>
      <c r="BJ739" s="26"/>
      <c r="BK739" s="27"/>
    </row>
    <row r="740" spans="2:63" ht="15.5">
      <c r="B740" s="25"/>
      <c r="C740" s="24"/>
      <c r="D740" s="24"/>
      <c r="E740" s="24"/>
      <c r="F740" s="24"/>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6"/>
      <c r="BC740" s="26"/>
      <c r="BD740" s="26"/>
      <c r="BE740" s="26"/>
      <c r="BF740" s="26"/>
      <c r="BG740" s="26"/>
      <c r="BH740" s="26"/>
      <c r="BI740" s="26"/>
      <c r="BJ740" s="26"/>
      <c r="BK740" s="27"/>
    </row>
    <row r="741" spans="2:63" ht="15.5">
      <c r="B741" s="25"/>
      <c r="C741" s="24"/>
      <c r="D741" s="24"/>
      <c r="E741" s="24"/>
      <c r="F741" s="24"/>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6"/>
      <c r="BC741" s="26"/>
      <c r="BD741" s="26"/>
      <c r="BE741" s="26"/>
      <c r="BF741" s="26"/>
      <c r="BG741" s="26"/>
      <c r="BH741" s="26"/>
      <c r="BI741" s="26"/>
      <c r="BJ741" s="26"/>
      <c r="BK741" s="27"/>
    </row>
    <row r="742" spans="2:63" ht="15.5">
      <c r="B742" s="25"/>
      <c r="C742" s="24"/>
      <c r="D742" s="24"/>
      <c r="E742" s="24"/>
      <c r="F742" s="24"/>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6"/>
      <c r="BC742" s="26"/>
      <c r="BD742" s="26"/>
      <c r="BE742" s="26"/>
      <c r="BF742" s="26"/>
      <c r="BG742" s="26"/>
      <c r="BH742" s="26"/>
      <c r="BI742" s="26"/>
      <c r="BJ742" s="26"/>
      <c r="BK742" s="27"/>
    </row>
    <row r="743" spans="2:63" ht="15.5">
      <c r="B743" s="25"/>
      <c r="C743" s="24"/>
      <c r="D743" s="24"/>
      <c r="E743" s="24"/>
      <c r="F743" s="24"/>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6"/>
      <c r="BC743" s="26"/>
      <c r="BD743" s="26"/>
      <c r="BE743" s="26"/>
      <c r="BF743" s="26"/>
      <c r="BG743" s="26"/>
      <c r="BH743" s="26"/>
      <c r="BI743" s="26"/>
      <c r="BJ743" s="26"/>
      <c r="BK743" s="27"/>
    </row>
    <row r="744" spans="2:63" ht="15.5">
      <c r="B744" s="25"/>
      <c r="C744" s="24"/>
      <c r="D744" s="24"/>
      <c r="E744" s="24"/>
      <c r="F744" s="24"/>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6"/>
      <c r="BC744" s="26"/>
      <c r="BD744" s="26"/>
      <c r="BE744" s="26"/>
      <c r="BF744" s="26"/>
      <c r="BG744" s="26"/>
      <c r="BH744" s="26"/>
      <c r="BI744" s="26"/>
      <c r="BJ744" s="26"/>
      <c r="BK744" s="27"/>
    </row>
    <row r="745" spans="2:63" ht="15.5">
      <c r="B745" s="25"/>
      <c r="C745" s="24"/>
      <c r="D745" s="24"/>
      <c r="E745" s="24"/>
      <c r="F745" s="24"/>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6"/>
      <c r="BC745" s="26"/>
      <c r="BD745" s="26"/>
      <c r="BE745" s="26"/>
      <c r="BF745" s="26"/>
      <c r="BG745" s="26"/>
      <c r="BH745" s="26"/>
      <c r="BI745" s="26"/>
      <c r="BJ745" s="26"/>
      <c r="BK745" s="27"/>
    </row>
    <row r="746" spans="2:63" ht="15.5">
      <c r="B746" s="25"/>
      <c r="C746" s="24"/>
      <c r="D746" s="24"/>
      <c r="E746" s="24"/>
      <c r="F746" s="24"/>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6"/>
      <c r="BC746" s="26"/>
      <c r="BD746" s="26"/>
      <c r="BE746" s="26"/>
      <c r="BF746" s="26"/>
      <c r="BG746" s="26"/>
      <c r="BH746" s="26"/>
      <c r="BI746" s="26"/>
      <c r="BJ746" s="26"/>
      <c r="BK746" s="27"/>
    </row>
    <row r="747" spans="2:63" ht="15.5">
      <c r="B747" s="25"/>
      <c r="C747" s="24"/>
      <c r="D747" s="24"/>
      <c r="E747" s="24"/>
      <c r="F747" s="24"/>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6"/>
      <c r="BC747" s="26"/>
      <c r="BD747" s="26"/>
      <c r="BE747" s="26"/>
      <c r="BF747" s="26"/>
      <c r="BG747" s="26"/>
      <c r="BH747" s="26"/>
      <c r="BI747" s="26"/>
      <c r="BJ747" s="26"/>
      <c r="BK747" s="27"/>
    </row>
    <row r="748" spans="2:63" ht="15.5">
      <c r="B748" s="25"/>
      <c r="C748" s="24"/>
      <c r="D748" s="24"/>
      <c r="E748" s="24"/>
      <c r="F748" s="24"/>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6"/>
      <c r="BC748" s="26"/>
      <c r="BD748" s="26"/>
      <c r="BE748" s="26"/>
      <c r="BF748" s="26"/>
      <c r="BG748" s="26"/>
      <c r="BH748" s="26"/>
      <c r="BI748" s="26"/>
      <c r="BJ748" s="26"/>
      <c r="BK748" s="27"/>
    </row>
    <row r="749" spans="2:63" ht="15.5">
      <c r="B749" s="25"/>
      <c r="C749" s="24"/>
      <c r="D749" s="24"/>
      <c r="E749" s="24"/>
      <c r="F749" s="24"/>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6"/>
      <c r="BC749" s="26"/>
      <c r="BD749" s="26"/>
      <c r="BE749" s="26"/>
      <c r="BF749" s="26"/>
      <c r="BG749" s="26"/>
      <c r="BH749" s="26"/>
      <c r="BI749" s="26"/>
      <c r="BJ749" s="26"/>
      <c r="BK749" s="27"/>
    </row>
    <row r="750" spans="2:63" ht="15.5">
      <c r="B750" s="25"/>
      <c r="C750" s="24"/>
      <c r="D750" s="24"/>
      <c r="E750" s="24"/>
      <c r="F750" s="24"/>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6"/>
      <c r="BC750" s="26"/>
      <c r="BD750" s="26"/>
      <c r="BE750" s="26"/>
      <c r="BF750" s="26"/>
      <c r="BG750" s="26"/>
      <c r="BH750" s="26"/>
      <c r="BI750" s="26"/>
      <c r="BJ750" s="26"/>
      <c r="BK750" s="27"/>
    </row>
    <row r="751" spans="2:63" ht="15.5">
      <c r="B751" s="25"/>
      <c r="C751" s="24"/>
      <c r="D751" s="24"/>
      <c r="E751" s="24"/>
      <c r="F751" s="24"/>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6"/>
      <c r="BC751" s="26"/>
      <c r="BD751" s="26"/>
      <c r="BE751" s="26"/>
      <c r="BF751" s="26"/>
      <c r="BG751" s="26"/>
      <c r="BH751" s="26"/>
      <c r="BI751" s="26"/>
      <c r="BJ751" s="26"/>
      <c r="BK751" s="27"/>
    </row>
    <row r="752" spans="2:63" ht="15.5">
      <c r="B752" s="25"/>
      <c r="C752" s="24"/>
      <c r="D752" s="24"/>
      <c r="E752" s="24"/>
      <c r="F752" s="24"/>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6"/>
      <c r="BC752" s="26"/>
      <c r="BD752" s="26"/>
      <c r="BE752" s="26"/>
      <c r="BF752" s="26"/>
      <c r="BG752" s="26"/>
      <c r="BH752" s="26"/>
      <c r="BI752" s="26"/>
      <c r="BJ752" s="26"/>
      <c r="BK752" s="27"/>
    </row>
    <row r="753" spans="2:63" ht="15.5">
      <c r="B753" s="25"/>
      <c r="C753" s="24"/>
      <c r="D753" s="24"/>
      <c r="E753" s="24"/>
      <c r="F753" s="24"/>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6"/>
      <c r="BC753" s="26"/>
      <c r="BD753" s="26"/>
      <c r="BE753" s="26"/>
      <c r="BF753" s="26"/>
      <c r="BG753" s="26"/>
      <c r="BH753" s="26"/>
      <c r="BI753" s="26"/>
      <c r="BJ753" s="26"/>
      <c r="BK753" s="27"/>
    </row>
    <row r="754" spans="2:63" ht="15.5">
      <c r="B754" s="25"/>
      <c r="C754" s="24"/>
      <c r="D754" s="24"/>
      <c r="E754" s="24"/>
      <c r="F754" s="24"/>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6"/>
      <c r="BC754" s="26"/>
      <c r="BD754" s="26"/>
      <c r="BE754" s="26"/>
      <c r="BF754" s="26"/>
      <c r="BG754" s="26"/>
      <c r="BH754" s="26"/>
      <c r="BI754" s="26"/>
      <c r="BJ754" s="26"/>
      <c r="BK754" s="27"/>
    </row>
    <row r="755" spans="2:63" ht="15.5">
      <c r="B755" s="25"/>
      <c r="C755" s="24"/>
      <c r="D755" s="24"/>
      <c r="E755" s="24"/>
      <c r="F755" s="24"/>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6"/>
      <c r="BC755" s="26"/>
      <c r="BD755" s="26"/>
      <c r="BE755" s="26"/>
      <c r="BF755" s="26"/>
      <c r="BG755" s="26"/>
      <c r="BH755" s="26"/>
      <c r="BI755" s="26"/>
      <c r="BJ755" s="26"/>
      <c r="BK755" s="27"/>
    </row>
    <row r="756" spans="2:63" ht="15.5">
      <c r="B756" s="25"/>
      <c r="C756" s="24"/>
      <c r="D756" s="24"/>
      <c r="E756" s="24"/>
      <c r="F756" s="24"/>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6"/>
      <c r="BC756" s="26"/>
      <c r="BD756" s="26"/>
      <c r="BE756" s="26"/>
      <c r="BF756" s="26"/>
      <c r="BG756" s="26"/>
      <c r="BH756" s="26"/>
      <c r="BI756" s="26"/>
      <c r="BJ756" s="26"/>
      <c r="BK756" s="27"/>
    </row>
    <row r="757" spans="2:63" ht="15.5">
      <c r="B757" s="25"/>
      <c r="C757" s="24"/>
      <c r="D757" s="24"/>
      <c r="E757" s="24"/>
      <c r="F757" s="24"/>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6"/>
      <c r="BC757" s="26"/>
      <c r="BD757" s="26"/>
      <c r="BE757" s="26"/>
      <c r="BF757" s="26"/>
      <c r="BG757" s="26"/>
      <c r="BH757" s="26"/>
      <c r="BI757" s="26"/>
      <c r="BJ757" s="26"/>
      <c r="BK757" s="27"/>
    </row>
    <row r="758" spans="2:63" ht="15.5">
      <c r="B758" s="25"/>
      <c r="C758" s="24"/>
      <c r="D758" s="24"/>
      <c r="E758" s="24"/>
      <c r="F758" s="24"/>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6"/>
      <c r="BC758" s="26"/>
      <c r="BD758" s="26"/>
      <c r="BE758" s="26"/>
      <c r="BF758" s="26"/>
      <c r="BG758" s="26"/>
      <c r="BH758" s="26"/>
      <c r="BI758" s="26"/>
      <c r="BJ758" s="26"/>
      <c r="BK758" s="27"/>
    </row>
    <row r="759" spans="2:63" ht="15.5">
      <c r="B759" s="25"/>
      <c r="C759" s="24"/>
      <c r="D759" s="24"/>
      <c r="E759" s="24"/>
      <c r="F759" s="24"/>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6"/>
      <c r="BC759" s="26"/>
      <c r="BD759" s="26"/>
      <c r="BE759" s="26"/>
      <c r="BF759" s="26"/>
      <c r="BG759" s="26"/>
      <c r="BH759" s="26"/>
      <c r="BI759" s="26"/>
      <c r="BJ759" s="26"/>
      <c r="BK759" s="27"/>
    </row>
    <row r="760" spans="2:63" ht="15.5">
      <c r="B760" s="25"/>
      <c r="C760" s="24"/>
      <c r="D760" s="24"/>
      <c r="E760" s="24"/>
      <c r="F760" s="24"/>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6"/>
      <c r="BC760" s="26"/>
      <c r="BD760" s="26"/>
      <c r="BE760" s="26"/>
      <c r="BF760" s="26"/>
      <c r="BG760" s="26"/>
      <c r="BH760" s="26"/>
      <c r="BI760" s="26"/>
      <c r="BJ760" s="26"/>
      <c r="BK760" s="27"/>
    </row>
    <row r="761" spans="2:63" ht="15.5">
      <c r="B761" s="25"/>
      <c r="C761" s="24"/>
      <c r="D761" s="24"/>
      <c r="E761" s="24"/>
      <c r="F761" s="24"/>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6"/>
      <c r="BC761" s="26"/>
      <c r="BD761" s="26"/>
      <c r="BE761" s="26"/>
      <c r="BF761" s="26"/>
      <c r="BG761" s="26"/>
      <c r="BH761" s="26"/>
      <c r="BI761" s="26"/>
      <c r="BJ761" s="26"/>
      <c r="BK761" s="27"/>
    </row>
    <row r="762" spans="2:63" ht="15.5">
      <c r="B762" s="25"/>
      <c r="C762" s="24"/>
      <c r="D762" s="24"/>
      <c r="E762" s="24"/>
      <c r="F762" s="24"/>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6"/>
      <c r="BC762" s="26"/>
      <c r="BD762" s="26"/>
      <c r="BE762" s="26"/>
      <c r="BF762" s="26"/>
      <c r="BG762" s="26"/>
      <c r="BH762" s="26"/>
      <c r="BI762" s="26"/>
      <c r="BJ762" s="26"/>
      <c r="BK762" s="27"/>
    </row>
    <row r="763" spans="2:63" ht="15.5">
      <c r="B763" s="25"/>
      <c r="C763" s="24"/>
      <c r="D763" s="24"/>
      <c r="E763" s="24"/>
      <c r="F763" s="24"/>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6"/>
      <c r="BC763" s="26"/>
      <c r="BD763" s="26"/>
      <c r="BE763" s="26"/>
      <c r="BF763" s="26"/>
      <c r="BG763" s="26"/>
      <c r="BH763" s="26"/>
      <c r="BI763" s="26"/>
      <c r="BJ763" s="26"/>
      <c r="BK763" s="27"/>
    </row>
    <row r="764" spans="2:63" ht="15.5">
      <c r="B764" s="25"/>
      <c r="C764" s="24"/>
      <c r="D764" s="24"/>
      <c r="E764" s="24"/>
      <c r="F764" s="24"/>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6"/>
      <c r="BC764" s="26"/>
      <c r="BD764" s="26"/>
      <c r="BE764" s="26"/>
      <c r="BF764" s="26"/>
      <c r="BG764" s="26"/>
      <c r="BH764" s="26"/>
      <c r="BI764" s="26"/>
      <c r="BJ764" s="26"/>
      <c r="BK764" s="27"/>
    </row>
    <row r="765" spans="2:63" ht="15.5">
      <c r="B765" s="25"/>
      <c r="C765" s="24"/>
      <c r="D765" s="24"/>
      <c r="E765" s="24"/>
      <c r="F765" s="24"/>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6"/>
      <c r="BC765" s="26"/>
      <c r="BD765" s="26"/>
      <c r="BE765" s="26"/>
      <c r="BF765" s="26"/>
      <c r="BG765" s="26"/>
      <c r="BH765" s="26"/>
      <c r="BI765" s="26"/>
      <c r="BJ765" s="26"/>
      <c r="BK765" s="27"/>
    </row>
    <row r="766" spans="2:63" ht="15.5">
      <c r="B766" s="25"/>
      <c r="C766" s="24"/>
      <c r="D766" s="24"/>
      <c r="E766" s="24"/>
      <c r="F766" s="24"/>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6"/>
      <c r="BC766" s="26"/>
      <c r="BD766" s="26"/>
      <c r="BE766" s="26"/>
      <c r="BF766" s="26"/>
      <c r="BG766" s="26"/>
      <c r="BH766" s="26"/>
      <c r="BI766" s="26"/>
      <c r="BJ766" s="26"/>
      <c r="BK766" s="27"/>
    </row>
    <row r="767" spans="2:63" ht="15.5">
      <c r="B767" s="25"/>
      <c r="C767" s="24"/>
      <c r="D767" s="24"/>
      <c r="E767" s="24"/>
      <c r="F767" s="24"/>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6"/>
      <c r="BC767" s="26"/>
      <c r="BD767" s="26"/>
      <c r="BE767" s="26"/>
      <c r="BF767" s="26"/>
      <c r="BG767" s="26"/>
      <c r="BH767" s="26"/>
      <c r="BI767" s="26"/>
      <c r="BJ767" s="26"/>
      <c r="BK767" s="27"/>
    </row>
    <row r="768" spans="2:63" ht="15.5">
      <c r="B768" s="25"/>
      <c r="C768" s="24"/>
      <c r="D768" s="24"/>
      <c r="E768" s="24"/>
      <c r="F768" s="24"/>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6"/>
      <c r="BC768" s="26"/>
      <c r="BD768" s="26"/>
      <c r="BE768" s="26"/>
      <c r="BF768" s="26"/>
      <c r="BG768" s="26"/>
      <c r="BH768" s="26"/>
      <c r="BI768" s="26"/>
      <c r="BJ768" s="26"/>
      <c r="BK768" s="27"/>
    </row>
    <row r="769" spans="2:63" ht="15.5">
      <c r="B769" s="25"/>
      <c r="C769" s="24"/>
      <c r="D769" s="24"/>
      <c r="E769" s="24"/>
      <c r="F769" s="24"/>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6"/>
      <c r="BC769" s="26"/>
      <c r="BD769" s="26"/>
      <c r="BE769" s="26"/>
      <c r="BF769" s="26"/>
      <c r="BG769" s="26"/>
      <c r="BH769" s="26"/>
      <c r="BI769" s="26"/>
      <c r="BJ769" s="26"/>
      <c r="BK769" s="27"/>
    </row>
    <row r="770" spans="2:63" ht="15.5">
      <c r="B770" s="25"/>
      <c r="C770" s="24"/>
      <c r="D770" s="24"/>
      <c r="E770" s="24"/>
      <c r="F770" s="24"/>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6"/>
      <c r="BC770" s="26"/>
      <c r="BD770" s="26"/>
      <c r="BE770" s="26"/>
      <c r="BF770" s="26"/>
      <c r="BG770" s="26"/>
      <c r="BH770" s="26"/>
      <c r="BI770" s="26"/>
      <c r="BJ770" s="26"/>
      <c r="BK770" s="27"/>
    </row>
    <row r="771" spans="2:63" ht="15.5">
      <c r="B771" s="25"/>
      <c r="C771" s="24"/>
      <c r="D771" s="24"/>
      <c r="E771" s="24"/>
      <c r="F771" s="24"/>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6"/>
      <c r="BC771" s="26"/>
      <c r="BD771" s="26"/>
      <c r="BE771" s="26"/>
      <c r="BF771" s="26"/>
      <c r="BG771" s="26"/>
      <c r="BH771" s="26"/>
      <c r="BI771" s="26"/>
      <c r="BJ771" s="26"/>
      <c r="BK771" s="27"/>
    </row>
    <row r="772" spans="2:63" ht="15.5">
      <c r="B772" s="25"/>
      <c r="C772" s="24"/>
      <c r="D772" s="24"/>
      <c r="E772" s="24"/>
      <c r="F772" s="24"/>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6"/>
      <c r="BC772" s="26"/>
      <c r="BD772" s="26"/>
      <c r="BE772" s="26"/>
      <c r="BF772" s="26"/>
      <c r="BG772" s="26"/>
      <c r="BH772" s="26"/>
      <c r="BI772" s="26"/>
      <c r="BJ772" s="26"/>
      <c r="BK772" s="27"/>
    </row>
    <row r="773" spans="2:63" ht="15.5">
      <c r="B773" s="25"/>
      <c r="C773" s="24"/>
      <c r="D773" s="24"/>
      <c r="E773" s="24"/>
      <c r="F773" s="24"/>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6"/>
      <c r="BC773" s="26"/>
      <c r="BD773" s="26"/>
      <c r="BE773" s="26"/>
      <c r="BF773" s="26"/>
      <c r="BG773" s="26"/>
      <c r="BH773" s="26"/>
      <c r="BI773" s="26"/>
      <c r="BJ773" s="26"/>
      <c r="BK773" s="27"/>
    </row>
    <row r="774" spans="2:63" ht="15.5">
      <c r="B774" s="25"/>
      <c r="C774" s="24"/>
      <c r="D774" s="24"/>
      <c r="E774" s="24"/>
      <c r="F774" s="24"/>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6"/>
      <c r="BC774" s="26"/>
      <c r="BD774" s="26"/>
      <c r="BE774" s="26"/>
      <c r="BF774" s="26"/>
      <c r="BG774" s="26"/>
      <c r="BH774" s="26"/>
      <c r="BI774" s="26"/>
      <c r="BJ774" s="26"/>
      <c r="BK774" s="27"/>
    </row>
    <row r="775" spans="2:63" ht="15.5">
      <c r="B775" s="25"/>
      <c r="C775" s="24"/>
      <c r="D775" s="24"/>
      <c r="E775" s="24"/>
      <c r="F775" s="24"/>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6"/>
      <c r="BC775" s="26"/>
      <c r="BD775" s="26"/>
      <c r="BE775" s="26"/>
      <c r="BF775" s="26"/>
      <c r="BG775" s="26"/>
      <c r="BH775" s="26"/>
      <c r="BI775" s="26"/>
      <c r="BJ775" s="26"/>
      <c r="BK775" s="27"/>
    </row>
    <row r="776" spans="2:63" ht="15.5">
      <c r="B776" s="25"/>
      <c r="C776" s="24"/>
      <c r="D776" s="24"/>
      <c r="E776" s="24"/>
      <c r="F776" s="24"/>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6"/>
      <c r="BC776" s="26"/>
      <c r="BD776" s="26"/>
      <c r="BE776" s="26"/>
      <c r="BF776" s="26"/>
      <c r="BG776" s="26"/>
      <c r="BH776" s="26"/>
      <c r="BI776" s="26"/>
      <c r="BJ776" s="26"/>
      <c r="BK776" s="27"/>
    </row>
    <row r="777" spans="2:63" ht="15.5">
      <c r="B777" s="25"/>
      <c r="C777" s="24"/>
      <c r="D777" s="24"/>
      <c r="E777" s="24"/>
      <c r="F777" s="24"/>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6"/>
      <c r="BC777" s="26"/>
      <c r="BD777" s="26"/>
      <c r="BE777" s="26"/>
      <c r="BF777" s="26"/>
      <c r="BG777" s="26"/>
      <c r="BH777" s="26"/>
      <c r="BI777" s="26"/>
      <c r="BJ777" s="26"/>
      <c r="BK777" s="27"/>
    </row>
    <row r="778" spans="2:63" ht="15.5">
      <c r="B778" s="25"/>
      <c r="C778" s="24"/>
      <c r="D778" s="24"/>
      <c r="E778" s="24"/>
      <c r="F778" s="24"/>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6"/>
      <c r="BC778" s="26"/>
      <c r="BD778" s="26"/>
      <c r="BE778" s="26"/>
      <c r="BF778" s="26"/>
      <c r="BG778" s="26"/>
      <c r="BH778" s="26"/>
      <c r="BI778" s="26"/>
      <c r="BJ778" s="26"/>
      <c r="BK778" s="27"/>
    </row>
    <row r="779" spans="2:63" ht="15.5">
      <c r="B779" s="25"/>
      <c r="C779" s="24"/>
      <c r="D779" s="24"/>
      <c r="E779" s="24"/>
      <c r="F779" s="24"/>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6"/>
      <c r="BC779" s="26"/>
      <c r="BD779" s="26"/>
      <c r="BE779" s="26"/>
      <c r="BF779" s="26"/>
      <c r="BG779" s="26"/>
      <c r="BH779" s="26"/>
      <c r="BI779" s="26"/>
      <c r="BJ779" s="26"/>
      <c r="BK779" s="27"/>
    </row>
    <row r="780" spans="2:63" ht="15.5">
      <c r="B780" s="25"/>
      <c r="C780" s="24"/>
      <c r="D780" s="24"/>
      <c r="E780" s="24"/>
      <c r="F780" s="24"/>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6"/>
      <c r="BC780" s="26"/>
      <c r="BD780" s="26"/>
      <c r="BE780" s="26"/>
      <c r="BF780" s="26"/>
      <c r="BG780" s="26"/>
      <c r="BH780" s="26"/>
      <c r="BI780" s="26"/>
      <c r="BJ780" s="26"/>
      <c r="BK780" s="27"/>
    </row>
    <row r="781" spans="2:63" ht="15.5">
      <c r="B781" s="25"/>
      <c r="C781" s="24"/>
      <c r="D781" s="24"/>
      <c r="E781" s="24"/>
      <c r="F781" s="24"/>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6"/>
      <c r="BC781" s="26"/>
      <c r="BD781" s="26"/>
      <c r="BE781" s="26"/>
      <c r="BF781" s="26"/>
      <c r="BG781" s="26"/>
      <c r="BH781" s="26"/>
      <c r="BI781" s="26"/>
      <c r="BJ781" s="26"/>
      <c r="BK781" s="27"/>
    </row>
    <row r="782" spans="2:63" ht="15.5">
      <c r="B782" s="25"/>
      <c r="C782" s="24"/>
      <c r="D782" s="24"/>
      <c r="E782" s="24"/>
      <c r="F782" s="24"/>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6"/>
      <c r="BC782" s="26"/>
      <c r="BD782" s="26"/>
      <c r="BE782" s="26"/>
      <c r="BF782" s="26"/>
      <c r="BG782" s="26"/>
      <c r="BH782" s="26"/>
      <c r="BI782" s="26"/>
      <c r="BJ782" s="26"/>
      <c r="BK782" s="27"/>
    </row>
    <row r="783" spans="2:63" ht="15.5">
      <c r="B783" s="25"/>
      <c r="C783" s="24"/>
      <c r="D783" s="24"/>
      <c r="E783" s="24"/>
      <c r="F783" s="24"/>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6"/>
      <c r="BC783" s="26"/>
      <c r="BD783" s="26"/>
      <c r="BE783" s="26"/>
      <c r="BF783" s="26"/>
      <c r="BG783" s="26"/>
      <c r="BH783" s="26"/>
      <c r="BI783" s="26"/>
      <c r="BJ783" s="26"/>
      <c r="BK783" s="27"/>
    </row>
    <row r="784" spans="2:63" ht="15.5">
      <c r="B784" s="25"/>
      <c r="C784" s="24"/>
      <c r="D784" s="24"/>
      <c r="E784" s="24"/>
      <c r="F784" s="24"/>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6"/>
      <c r="BC784" s="26"/>
      <c r="BD784" s="26"/>
      <c r="BE784" s="26"/>
      <c r="BF784" s="26"/>
      <c r="BG784" s="26"/>
      <c r="BH784" s="26"/>
      <c r="BI784" s="26"/>
      <c r="BJ784" s="26"/>
      <c r="BK784" s="27"/>
    </row>
    <row r="785" spans="2:63" ht="15.5">
      <c r="B785" s="25"/>
      <c r="C785" s="24"/>
      <c r="D785" s="24"/>
      <c r="E785" s="24"/>
      <c r="F785" s="24"/>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6"/>
      <c r="BC785" s="26"/>
      <c r="BD785" s="26"/>
      <c r="BE785" s="26"/>
      <c r="BF785" s="26"/>
      <c r="BG785" s="26"/>
      <c r="BH785" s="26"/>
      <c r="BI785" s="26"/>
      <c r="BJ785" s="26"/>
      <c r="BK785" s="27"/>
    </row>
    <row r="786" spans="2:63" ht="15.5">
      <c r="B786" s="25"/>
      <c r="C786" s="24"/>
      <c r="D786" s="24"/>
      <c r="E786" s="24"/>
      <c r="F786" s="24"/>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6"/>
      <c r="BC786" s="26"/>
      <c r="BD786" s="26"/>
      <c r="BE786" s="26"/>
      <c r="BF786" s="26"/>
      <c r="BG786" s="26"/>
      <c r="BH786" s="26"/>
      <c r="BI786" s="26"/>
      <c r="BJ786" s="26"/>
      <c r="BK786" s="27"/>
    </row>
    <row r="787" spans="2:63" ht="15.5">
      <c r="B787" s="25"/>
      <c r="C787" s="24"/>
      <c r="D787" s="24"/>
      <c r="E787" s="24"/>
      <c r="F787" s="24"/>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6"/>
      <c r="BC787" s="26"/>
      <c r="BD787" s="26"/>
      <c r="BE787" s="26"/>
      <c r="BF787" s="26"/>
      <c r="BG787" s="26"/>
      <c r="BH787" s="26"/>
      <c r="BI787" s="26"/>
      <c r="BJ787" s="26"/>
      <c r="BK787" s="27"/>
    </row>
    <row r="788" spans="2:63" ht="15.5">
      <c r="B788" s="25"/>
      <c r="C788" s="24"/>
      <c r="D788" s="24"/>
      <c r="E788" s="24"/>
      <c r="F788" s="24"/>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6"/>
      <c r="BC788" s="26"/>
      <c r="BD788" s="26"/>
      <c r="BE788" s="26"/>
      <c r="BF788" s="26"/>
      <c r="BG788" s="26"/>
      <c r="BH788" s="26"/>
      <c r="BI788" s="26"/>
      <c r="BJ788" s="26"/>
      <c r="BK788" s="27"/>
    </row>
    <row r="789" spans="2:63" ht="15.5">
      <c r="B789" s="25"/>
      <c r="C789" s="24"/>
      <c r="D789" s="24"/>
      <c r="E789" s="24"/>
      <c r="F789" s="24"/>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6"/>
      <c r="BC789" s="26"/>
      <c r="BD789" s="26"/>
      <c r="BE789" s="26"/>
      <c r="BF789" s="26"/>
      <c r="BG789" s="26"/>
      <c r="BH789" s="26"/>
      <c r="BI789" s="26"/>
      <c r="BJ789" s="26"/>
      <c r="BK789" s="27"/>
    </row>
    <row r="790" spans="2:63" ht="15.5">
      <c r="B790" s="25"/>
      <c r="C790" s="24"/>
      <c r="D790" s="24"/>
      <c r="E790" s="24"/>
      <c r="F790" s="24"/>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6"/>
      <c r="BC790" s="26"/>
      <c r="BD790" s="26"/>
      <c r="BE790" s="26"/>
      <c r="BF790" s="26"/>
      <c r="BG790" s="26"/>
      <c r="BH790" s="26"/>
      <c r="BI790" s="26"/>
      <c r="BJ790" s="26"/>
      <c r="BK790" s="27"/>
    </row>
    <row r="791" spans="2:63" ht="15.5">
      <c r="B791" s="25"/>
      <c r="C791" s="24"/>
      <c r="D791" s="24"/>
      <c r="E791" s="24"/>
      <c r="F791" s="24"/>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6"/>
      <c r="BC791" s="26"/>
      <c r="BD791" s="26"/>
      <c r="BE791" s="26"/>
      <c r="BF791" s="26"/>
      <c r="BG791" s="26"/>
      <c r="BH791" s="26"/>
      <c r="BI791" s="26"/>
      <c r="BJ791" s="26"/>
      <c r="BK791" s="27"/>
    </row>
    <row r="792" spans="2:63" ht="15.5">
      <c r="B792" s="25"/>
      <c r="C792" s="24"/>
      <c r="D792" s="24"/>
      <c r="E792" s="24"/>
      <c r="F792" s="24"/>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6"/>
      <c r="BC792" s="26"/>
      <c r="BD792" s="26"/>
      <c r="BE792" s="26"/>
      <c r="BF792" s="26"/>
      <c r="BG792" s="26"/>
      <c r="BH792" s="26"/>
      <c r="BI792" s="26"/>
      <c r="BJ792" s="26"/>
      <c r="BK792" s="27"/>
    </row>
    <row r="793" spans="2:63" ht="15.5">
      <c r="B793" s="25"/>
      <c r="C793" s="24"/>
      <c r="D793" s="24"/>
      <c r="E793" s="24"/>
      <c r="F793" s="24"/>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6"/>
      <c r="BC793" s="26"/>
      <c r="BD793" s="26"/>
      <c r="BE793" s="26"/>
      <c r="BF793" s="26"/>
      <c r="BG793" s="26"/>
      <c r="BH793" s="26"/>
      <c r="BI793" s="26"/>
      <c r="BJ793" s="26"/>
      <c r="BK793" s="27"/>
    </row>
    <row r="794" spans="2:63" ht="15.5">
      <c r="B794" s="25"/>
      <c r="C794" s="24"/>
      <c r="D794" s="24"/>
      <c r="E794" s="24"/>
      <c r="F794" s="24"/>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6"/>
      <c r="BC794" s="26"/>
      <c r="BD794" s="26"/>
      <c r="BE794" s="26"/>
      <c r="BF794" s="26"/>
      <c r="BG794" s="26"/>
      <c r="BH794" s="26"/>
      <c r="BI794" s="26"/>
      <c r="BJ794" s="26"/>
      <c r="BK794" s="27"/>
    </row>
    <row r="795" spans="2:63" ht="15.5">
      <c r="B795" s="25"/>
      <c r="C795" s="24"/>
      <c r="D795" s="24"/>
      <c r="E795" s="24"/>
      <c r="F795" s="24"/>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6"/>
      <c r="BC795" s="26"/>
      <c r="BD795" s="26"/>
      <c r="BE795" s="26"/>
      <c r="BF795" s="26"/>
      <c r="BG795" s="26"/>
      <c r="BH795" s="26"/>
      <c r="BI795" s="26"/>
      <c r="BJ795" s="26"/>
      <c r="BK795" s="27"/>
    </row>
    <row r="796" spans="2:63" ht="15.5">
      <c r="B796" s="25"/>
      <c r="C796" s="24"/>
      <c r="D796" s="24"/>
      <c r="E796" s="24"/>
      <c r="F796" s="24"/>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6"/>
      <c r="BC796" s="26"/>
      <c r="BD796" s="26"/>
      <c r="BE796" s="26"/>
      <c r="BF796" s="26"/>
      <c r="BG796" s="26"/>
      <c r="BH796" s="26"/>
      <c r="BI796" s="26"/>
      <c r="BJ796" s="26"/>
      <c r="BK796" s="27"/>
    </row>
    <row r="797" spans="2:63" ht="15.5">
      <c r="B797" s="25"/>
      <c r="C797" s="24"/>
      <c r="D797" s="24"/>
      <c r="E797" s="24"/>
      <c r="F797" s="24"/>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6"/>
      <c r="BC797" s="26"/>
      <c r="BD797" s="26"/>
      <c r="BE797" s="26"/>
      <c r="BF797" s="26"/>
      <c r="BG797" s="26"/>
      <c r="BH797" s="26"/>
      <c r="BI797" s="26"/>
      <c r="BJ797" s="26"/>
      <c r="BK797" s="27"/>
    </row>
    <row r="798" spans="2:63" ht="15.5">
      <c r="B798" s="25"/>
      <c r="C798" s="24"/>
      <c r="D798" s="24"/>
      <c r="E798" s="24"/>
      <c r="F798" s="24"/>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6"/>
      <c r="BC798" s="26"/>
      <c r="BD798" s="26"/>
      <c r="BE798" s="26"/>
      <c r="BF798" s="26"/>
      <c r="BG798" s="26"/>
      <c r="BH798" s="26"/>
      <c r="BI798" s="26"/>
      <c r="BJ798" s="26"/>
      <c r="BK798" s="27"/>
    </row>
    <row r="799" spans="2:63" ht="15.5">
      <c r="B799" s="25"/>
      <c r="C799" s="24"/>
      <c r="D799" s="24"/>
      <c r="E799" s="24"/>
      <c r="F799" s="24"/>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6"/>
      <c r="BC799" s="26"/>
      <c r="BD799" s="26"/>
      <c r="BE799" s="26"/>
      <c r="BF799" s="26"/>
      <c r="BG799" s="26"/>
      <c r="BH799" s="26"/>
      <c r="BI799" s="26"/>
      <c r="BJ799" s="26"/>
      <c r="BK799" s="27"/>
    </row>
    <row r="800" spans="2:63" ht="15.5">
      <c r="B800" s="25"/>
      <c r="C800" s="24"/>
      <c r="D800" s="24"/>
      <c r="E800" s="24"/>
      <c r="F800" s="24"/>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6"/>
      <c r="BC800" s="26"/>
      <c r="BD800" s="26"/>
      <c r="BE800" s="26"/>
      <c r="BF800" s="26"/>
      <c r="BG800" s="26"/>
      <c r="BH800" s="26"/>
      <c r="BI800" s="26"/>
      <c r="BJ800" s="26"/>
      <c r="BK800" s="27"/>
    </row>
    <row r="801" spans="2:63" ht="15.5">
      <c r="B801" s="25"/>
      <c r="C801" s="24"/>
      <c r="D801" s="24"/>
      <c r="E801" s="24"/>
      <c r="F801" s="24"/>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6"/>
      <c r="BC801" s="26"/>
      <c r="BD801" s="26"/>
      <c r="BE801" s="26"/>
      <c r="BF801" s="26"/>
      <c r="BG801" s="26"/>
      <c r="BH801" s="26"/>
      <c r="BI801" s="26"/>
      <c r="BJ801" s="26"/>
      <c r="BK801" s="27"/>
    </row>
    <row r="802" spans="2:63" ht="15.5">
      <c r="B802" s="25"/>
      <c r="C802" s="24"/>
      <c r="D802" s="24"/>
      <c r="E802" s="24"/>
      <c r="F802" s="24"/>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6"/>
      <c r="BC802" s="26"/>
      <c r="BD802" s="26"/>
      <c r="BE802" s="26"/>
      <c r="BF802" s="26"/>
      <c r="BG802" s="26"/>
      <c r="BH802" s="26"/>
      <c r="BI802" s="26"/>
      <c r="BJ802" s="26"/>
      <c r="BK802" s="27"/>
    </row>
    <row r="803" spans="2:63" ht="15.5">
      <c r="B803" s="25"/>
      <c r="C803" s="24"/>
      <c r="D803" s="24"/>
      <c r="E803" s="24"/>
      <c r="F803" s="24"/>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6"/>
      <c r="BC803" s="26"/>
      <c r="BD803" s="26"/>
      <c r="BE803" s="26"/>
      <c r="BF803" s="26"/>
      <c r="BG803" s="26"/>
      <c r="BH803" s="26"/>
      <c r="BI803" s="26"/>
      <c r="BJ803" s="26"/>
      <c r="BK803" s="27"/>
    </row>
    <row r="804" spans="2:63" ht="15.5">
      <c r="B804" s="25"/>
      <c r="C804" s="24"/>
      <c r="D804" s="24"/>
      <c r="E804" s="24"/>
      <c r="F804" s="24"/>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6"/>
      <c r="BC804" s="26"/>
      <c r="BD804" s="26"/>
      <c r="BE804" s="26"/>
      <c r="BF804" s="26"/>
      <c r="BG804" s="26"/>
      <c r="BH804" s="26"/>
      <c r="BI804" s="26"/>
      <c r="BJ804" s="26"/>
      <c r="BK804" s="27"/>
    </row>
    <row r="805" spans="2:63" ht="15.5">
      <c r="B805" s="25"/>
      <c r="C805" s="24"/>
      <c r="D805" s="24"/>
      <c r="E805" s="24"/>
      <c r="F805" s="24"/>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6"/>
      <c r="BC805" s="26"/>
      <c r="BD805" s="26"/>
      <c r="BE805" s="26"/>
      <c r="BF805" s="26"/>
      <c r="BG805" s="26"/>
      <c r="BH805" s="26"/>
      <c r="BI805" s="26"/>
      <c r="BJ805" s="26"/>
      <c r="BK805" s="27"/>
    </row>
    <row r="806" spans="2:63" ht="15.5">
      <c r="B806" s="25"/>
      <c r="C806" s="24"/>
      <c r="D806" s="24"/>
      <c r="E806" s="24"/>
      <c r="F806" s="24"/>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6"/>
      <c r="BC806" s="26"/>
      <c r="BD806" s="26"/>
      <c r="BE806" s="26"/>
      <c r="BF806" s="26"/>
      <c r="BG806" s="26"/>
      <c r="BH806" s="26"/>
      <c r="BI806" s="26"/>
      <c r="BJ806" s="26"/>
      <c r="BK806" s="27"/>
    </row>
    <row r="807" spans="2:63" ht="15.5">
      <c r="B807" s="25"/>
      <c r="C807" s="24"/>
      <c r="D807" s="24"/>
      <c r="E807" s="24"/>
      <c r="F807" s="24"/>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6"/>
      <c r="BC807" s="26"/>
      <c r="BD807" s="26"/>
      <c r="BE807" s="26"/>
      <c r="BF807" s="26"/>
      <c r="BG807" s="26"/>
      <c r="BH807" s="26"/>
      <c r="BI807" s="26"/>
      <c r="BJ807" s="26"/>
      <c r="BK807" s="27"/>
    </row>
    <row r="808" spans="2:63" ht="15.5">
      <c r="B808" s="25"/>
      <c r="C808" s="24"/>
      <c r="D808" s="24"/>
      <c r="E808" s="24"/>
      <c r="F808" s="24"/>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6"/>
      <c r="BC808" s="26"/>
      <c r="BD808" s="26"/>
      <c r="BE808" s="26"/>
      <c r="BF808" s="26"/>
      <c r="BG808" s="26"/>
      <c r="BH808" s="26"/>
      <c r="BI808" s="26"/>
      <c r="BJ808" s="26"/>
      <c r="BK808" s="27"/>
    </row>
    <row r="809" spans="2:63" ht="15.5">
      <c r="B809" s="25"/>
      <c r="C809" s="24"/>
      <c r="D809" s="24"/>
      <c r="E809" s="24"/>
      <c r="F809" s="24"/>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6"/>
      <c r="BC809" s="26"/>
      <c r="BD809" s="26"/>
      <c r="BE809" s="26"/>
      <c r="BF809" s="26"/>
      <c r="BG809" s="26"/>
      <c r="BH809" s="26"/>
      <c r="BI809" s="26"/>
      <c r="BJ809" s="26"/>
      <c r="BK809" s="27"/>
    </row>
    <row r="810" spans="2:63" ht="15.5">
      <c r="B810" s="25"/>
      <c r="C810" s="24"/>
      <c r="D810" s="24"/>
      <c r="E810" s="24"/>
      <c r="F810" s="24"/>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6"/>
      <c r="BC810" s="26"/>
      <c r="BD810" s="26"/>
      <c r="BE810" s="26"/>
      <c r="BF810" s="26"/>
      <c r="BG810" s="26"/>
      <c r="BH810" s="26"/>
      <c r="BI810" s="26"/>
      <c r="BJ810" s="26"/>
      <c r="BK810" s="27"/>
    </row>
    <row r="811" spans="2:63" ht="15.5">
      <c r="B811" s="25"/>
      <c r="C811" s="24"/>
      <c r="D811" s="24"/>
      <c r="E811" s="24"/>
      <c r="F811" s="24"/>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6"/>
      <c r="BC811" s="26"/>
      <c r="BD811" s="26"/>
      <c r="BE811" s="26"/>
      <c r="BF811" s="26"/>
      <c r="BG811" s="26"/>
      <c r="BH811" s="26"/>
      <c r="BI811" s="26"/>
      <c r="BJ811" s="26"/>
      <c r="BK811" s="27"/>
    </row>
    <row r="812" spans="2:63" ht="15.5">
      <c r="B812" s="25"/>
      <c r="C812" s="24"/>
      <c r="D812" s="24"/>
      <c r="E812" s="24"/>
      <c r="F812" s="24"/>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6"/>
      <c r="BC812" s="26"/>
      <c r="BD812" s="26"/>
      <c r="BE812" s="26"/>
      <c r="BF812" s="26"/>
      <c r="BG812" s="26"/>
      <c r="BH812" s="26"/>
      <c r="BI812" s="26"/>
      <c r="BJ812" s="26"/>
      <c r="BK812" s="27"/>
    </row>
    <row r="813" spans="2:63" ht="15.5">
      <c r="B813" s="25"/>
      <c r="C813" s="24"/>
      <c r="D813" s="24"/>
      <c r="E813" s="24"/>
      <c r="F813" s="24"/>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6"/>
      <c r="BC813" s="26"/>
      <c r="BD813" s="26"/>
      <c r="BE813" s="26"/>
      <c r="BF813" s="26"/>
      <c r="BG813" s="26"/>
      <c r="BH813" s="26"/>
      <c r="BI813" s="26"/>
      <c r="BJ813" s="26"/>
      <c r="BK813" s="27"/>
    </row>
    <row r="814" spans="2:63" ht="15.5">
      <c r="B814" s="25"/>
      <c r="C814" s="24"/>
      <c r="D814" s="24"/>
      <c r="E814" s="24"/>
      <c r="F814" s="24"/>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6"/>
      <c r="BC814" s="26"/>
      <c r="BD814" s="26"/>
      <c r="BE814" s="26"/>
      <c r="BF814" s="26"/>
      <c r="BG814" s="26"/>
      <c r="BH814" s="26"/>
      <c r="BI814" s="26"/>
      <c r="BJ814" s="26"/>
      <c r="BK814" s="27"/>
    </row>
    <row r="815" spans="2:63" ht="15.5">
      <c r="B815" s="25"/>
      <c r="C815" s="24"/>
      <c r="D815" s="24"/>
      <c r="E815" s="24"/>
      <c r="F815" s="24"/>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6"/>
      <c r="BC815" s="26"/>
      <c r="BD815" s="26"/>
      <c r="BE815" s="26"/>
      <c r="BF815" s="26"/>
      <c r="BG815" s="26"/>
      <c r="BH815" s="26"/>
      <c r="BI815" s="26"/>
      <c r="BJ815" s="26"/>
      <c r="BK815" s="27"/>
    </row>
    <row r="816" spans="2:63" ht="15.5">
      <c r="B816" s="25"/>
      <c r="C816" s="24"/>
      <c r="D816" s="24"/>
      <c r="E816" s="24"/>
      <c r="F816" s="24"/>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6"/>
      <c r="BC816" s="26"/>
      <c r="BD816" s="26"/>
      <c r="BE816" s="26"/>
      <c r="BF816" s="26"/>
      <c r="BG816" s="26"/>
      <c r="BH816" s="26"/>
      <c r="BI816" s="26"/>
      <c r="BJ816" s="26"/>
      <c r="BK816" s="27"/>
    </row>
    <row r="817" spans="2:63" ht="15.5">
      <c r="B817" s="25"/>
      <c r="C817" s="24"/>
      <c r="D817" s="24"/>
      <c r="E817" s="24"/>
      <c r="F817" s="24"/>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6"/>
      <c r="BC817" s="26"/>
      <c r="BD817" s="26"/>
      <c r="BE817" s="26"/>
      <c r="BF817" s="26"/>
      <c r="BG817" s="26"/>
      <c r="BH817" s="26"/>
      <c r="BI817" s="26"/>
      <c r="BJ817" s="26"/>
      <c r="BK817" s="27"/>
    </row>
    <row r="818" spans="2:63" ht="15.5">
      <c r="B818" s="25"/>
      <c r="C818" s="24"/>
      <c r="D818" s="24"/>
      <c r="E818" s="24"/>
      <c r="F818" s="24"/>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6"/>
      <c r="BC818" s="26"/>
      <c r="BD818" s="26"/>
      <c r="BE818" s="26"/>
      <c r="BF818" s="26"/>
      <c r="BG818" s="26"/>
      <c r="BH818" s="26"/>
      <c r="BI818" s="26"/>
      <c r="BJ818" s="26"/>
      <c r="BK818" s="27"/>
    </row>
    <row r="819" spans="2:63" ht="15.5">
      <c r="B819" s="25"/>
      <c r="C819" s="24"/>
      <c r="D819" s="24"/>
      <c r="E819" s="24"/>
      <c r="F819" s="24"/>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6"/>
      <c r="BC819" s="26"/>
      <c r="BD819" s="26"/>
      <c r="BE819" s="26"/>
      <c r="BF819" s="26"/>
      <c r="BG819" s="26"/>
      <c r="BH819" s="26"/>
      <c r="BI819" s="26"/>
      <c r="BJ819" s="26"/>
      <c r="BK819" s="27"/>
    </row>
    <row r="820" spans="2:63" ht="15.5">
      <c r="B820" s="25"/>
      <c r="C820" s="24"/>
      <c r="D820" s="24"/>
      <c r="E820" s="24"/>
      <c r="F820" s="24"/>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6"/>
      <c r="BC820" s="26"/>
      <c r="BD820" s="26"/>
      <c r="BE820" s="26"/>
      <c r="BF820" s="26"/>
      <c r="BG820" s="26"/>
      <c r="BH820" s="26"/>
      <c r="BI820" s="26"/>
      <c r="BJ820" s="26"/>
      <c r="BK820" s="27"/>
    </row>
    <row r="821" spans="2:63" ht="15.5">
      <c r="B821" s="25"/>
      <c r="C821" s="24"/>
      <c r="D821" s="24"/>
      <c r="E821" s="24"/>
      <c r="F821" s="24"/>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6"/>
      <c r="BC821" s="26"/>
      <c r="BD821" s="26"/>
      <c r="BE821" s="26"/>
      <c r="BF821" s="26"/>
      <c r="BG821" s="26"/>
      <c r="BH821" s="26"/>
      <c r="BI821" s="26"/>
      <c r="BJ821" s="26"/>
      <c r="BK821" s="27"/>
    </row>
    <row r="822" spans="2:63" ht="15.5">
      <c r="B822" s="25"/>
      <c r="C822" s="24"/>
      <c r="D822" s="24"/>
      <c r="E822" s="24"/>
      <c r="F822" s="24"/>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6"/>
      <c r="BC822" s="26"/>
      <c r="BD822" s="26"/>
      <c r="BE822" s="26"/>
      <c r="BF822" s="26"/>
      <c r="BG822" s="26"/>
      <c r="BH822" s="26"/>
      <c r="BI822" s="26"/>
      <c r="BJ822" s="26"/>
      <c r="BK822" s="27"/>
    </row>
    <row r="823" spans="2:63" ht="15.5">
      <c r="B823" s="25"/>
      <c r="C823" s="24"/>
      <c r="D823" s="24"/>
      <c r="E823" s="24"/>
      <c r="F823" s="24"/>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6"/>
      <c r="BC823" s="26"/>
      <c r="BD823" s="26"/>
      <c r="BE823" s="26"/>
      <c r="BF823" s="26"/>
      <c r="BG823" s="26"/>
      <c r="BH823" s="26"/>
      <c r="BI823" s="26"/>
      <c r="BJ823" s="26"/>
      <c r="BK823" s="27"/>
    </row>
    <row r="824" spans="2:63" ht="15.5">
      <c r="B824" s="25"/>
      <c r="C824" s="24"/>
      <c r="D824" s="24"/>
      <c r="E824" s="24"/>
      <c r="F824" s="24"/>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6"/>
      <c r="BC824" s="26"/>
      <c r="BD824" s="26"/>
      <c r="BE824" s="26"/>
      <c r="BF824" s="26"/>
      <c r="BG824" s="26"/>
      <c r="BH824" s="26"/>
      <c r="BI824" s="26"/>
      <c r="BJ824" s="26"/>
      <c r="BK824" s="27"/>
    </row>
    <row r="825" spans="2:63" ht="15.5">
      <c r="B825" s="25"/>
      <c r="C825" s="24"/>
      <c r="D825" s="24"/>
      <c r="E825" s="24"/>
      <c r="F825" s="24"/>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6"/>
      <c r="BC825" s="26"/>
      <c r="BD825" s="26"/>
      <c r="BE825" s="26"/>
      <c r="BF825" s="26"/>
      <c r="BG825" s="26"/>
      <c r="BH825" s="26"/>
      <c r="BI825" s="26"/>
      <c r="BJ825" s="26"/>
      <c r="BK825" s="27"/>
    </row>
    <row r="826" spans="2:63" ht="15.5">
      <c r="B826" s="25"/>
      <c r="C826" s="24"/>
      <c r="D826" s="24"/>
      <c r="E826" s="24"/>
      <c r="F826" s="24"/>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6"/>
      <c r="BC826" s="26"/>
      <c r="BD826" s="26"/>
      <c r="BE826" s="26"/>
      <c r="BF826" s="26"/>
      <c r="BG826" s="26"/>
      <c r="BH826" s="26"/>
      <c r="BI826" s="26"/>
      <c r="BJ826" s="26"/>
      <c r="BK826" s="27"/>
    </row>
    <row r="827" spans="2:63" ht="15.5">
      <c r="B827" s="25"/>
      <c r="C827" s="24"/>
      <c r="D827" s="24"/>
      <c r="E827" s="24"/>
      <c r="F827" s="24"/>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6"/>
      <c r="BC827" s="26"/>
      <c r="BD827" s="26"/>
      <c r="BE827" s="26"/>
      <c r="BF827" s="26"/>
      <c r="BG827" s="26"/>
      <c r="BH827" s="26"/>
      <c r="BI827" s="26"/>
      <c r="BJ827" s="26"/>
      <c r="BK827" s="27"/>
    </row>
    <row r="828" spans="2:63" ht="15.5">
      <c r="B828" s="25"/>
      <c r="C828" s="24"/>
      <c r="D828" s="24"/>
      <c r="E828" s="24"/>
      <c r="F828" s="24"/>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6"/>
      <c r="BC828" s="26"/>
      <c r="BD828" s="26"/>
      <c r="BE828" s="26"/>
      <c r="BF828" s="26"/>
      <c r="BG828" s="26"/>
      <c r="BH828" s="26"/>
      <c r="BI828" s="26"/>
      <c r="BJ828" s="26"/>
      <c r="BK828" s="27"/>
    </row>
    <row r="829" spans="2:63" ht="15.5">
      <c r="B829" s="25"/>
      <c r="C829" s="24"/>
      <c r="D829" s="24"/>
      <c r="E829" s="24"/>
      <c r="F829" s="24"/>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6"/>
      <c r="BC829" s="26"/>
      <c r="BD829" s="26"/>
      <c r="BE829" s="26"/>
      <c r="BF829" s="26"/>
      <c r="BG829" s="26"/>
      <c r="BH829" s="26"/>
      <c r="BI829" s="26"/>
      <c r="BJ829" s="26"/>
      <c r="BK829" s="27"/>
    </row>
    <row r="830" spans="2:63" ht="15.5">
      <c r="B830" s="25"/>
      <c r="C830" s="24"/>
      <c r="D830" s="24"/>
      <c r="E830" s="24"/>
      <c r="F830" s="24"/>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6"/>
      <c r="BC830" s="26"/>
      <c r="BD830" s="26"/>
      <c r="BE830" s="26"/>
      <c r="BF830" s="26"/>
      <c r="BG830" s="26"/>
      <c r="BH830" s="26"/>
      <c r="BI830" s="26"/>
      <c r="BJ830" s="26"/>
      <c r="BK830" s="27"/>
    </row>
    <row r="831" spans="2:63" ht="15.5">
      <c r="B831" s="25"/>
      <c r="C831" s="24"/>
      <c r="D831" s="24"/>
      <c r="E831" s="24"/>
      <c r="F831" s="24"/>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6"/>
      <c r="BC831" s="26"/>
      <c r="BD831" s="26"/>
      <c r="BE831" s="26"/>
      <c r="BF831" s="26"/>
      <c r="BG831" s="26"/>
      <c r="BH831" s="26"/>
      <c r="BI831" s="26"/>
      <c r="BJ831" s="26"/>
      <c r="BK831" s="27"/>
    </row>
    <row r="832" spans="2:63" ht="15.5">
      <c r="B832" s="25"/>
      <c r="C832" s="24"/>
      <c r="D832" s="24"/>
      <c r="E832" s="24"/>
      <c r="F832" s="24"/>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6"/>
      <c r="BC832" s="26"/>
      <c r="BD832" s="26"/>
      <c r="BE832" s="26"/>
      <c r="BF832" s="26"/>
      <c r="BG832" s="26"/>
      <c r="BH832" s="26"/>
      <c r="BI832" s="26"/>
      <c r="BJ832" s="26"/>
      <c r="BK832" s="27"/>
    </row>
    <row r="833" spans="2:63" ht="15.5">
      <c r="B833" s="25"/>
      <c r="C833" s="24"/>
      <c r="D833" s="24"/>
      <c r="E833" s="24"/>
      <c r="F833" s="24"/>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6"/>
      <c r="BC833" s="26"/>
      <c r="BD833" s="26"/>
      <c r="BE833" s="26"/>
      <c r="BF833" s="26"/>
      <c r="BG833" s="26"/>
      <c r="BH833" s="26"/>
      <c r="BI833" s="26"/>
      <c r="BJ833" s="26"/>
      <c r="BK833" s="27"/>
    </row>
    <row r="834" spans="2:63" ht="15.5">
      <c r="B834" s="25"/>
      <c r="C834" s="24"/>
      <c r="D834" s="24"/>
      <c r="E834" s="24"/>
      <c r="F834" s="24"/>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6"/>
      <c r="BC834" s="26"/>
      <c r="BD834" s="26"/>
      <c r="BE834" s="26"/>
      <c r="BF834" s="26"/>
      <c r="BG834" s="26"/>
      <c r="BH834" s="26"/>
      <c r="BI834" s="26"/>
      <c r="BJ834" s="26"/>
      <c r="BK834" s="27"/>
    </row>
    <row r="835" spans="2:63" ht="15.5">
      <c r="B835" s="25"/>
      <c r="C835" s="24"/>
      <c r="D835" s="24"/>
      <c r="E835" s="24"/>
      <c r="F835" s="24"/>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6"/>
      <c r="BC835" s="26"/>
      <c r="BD835" s="26"/>
      <c r="BE835" s="26"/>
      <c r="BF835" s="26"/>
      <c r="BG835" s="26"/>
      <c r="BH835" s="26"/>
      <c r="BI835" s="26"/>
      <c r="BJ835" s="26"/>
      <c r="BK835" s="27"/>
    </row>
    <row r="836" spans="2:63" ht="15.5">
      <c r="B836" s="25"/>
      <c r="C836" s="24"/>
      <c r="D836" s="24"/>
      <c r="E836" s="24"/>
      <c r="F836" s="24"/>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6"/>
      <c r="BC836" s="26"/>
      <c r="BD836" s="26"/>
      <c r="BE836" s="26"/>
      <c r="BF836" s="26"/>
      <c r="BG836" s="26"/>
      <c r="BH836" s="26"/>
      <c r="BI836" s="26"/>
      <c r="BJ836" s="26"/>
      <c r="BK836" s="27"/>
    </row>
    <row r="837" spans="2:63" ht="15.5">
      <c r="B837" s="25"/>
      <c r="C837" s="24"/>
      <c r="D837" s="24"/>
      <c r="E837" s="24"/>
      <c r="F837" s="24"/>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6"/>
      <c r="BC837" s="26"/>
      <c r="BD837" s="26"/>
      <c r="BE837" s="26"/>
      <c r="BF837" s="26"/>
      <c r="BG837" s="26"/>
      <c r="BH837" s="26"/>
      <c r="BI837" s="26"/>
      <c r="BJ837" s="26"/>
      <c r="BK837" s="27"/>
    </row>
    <row r="838" spans="2:63" ht="15.5">
      <c r="B838" s="25"/>
      <c r="C838" s="24"/>
      <c r="D838" s="24"/>
      <c r="E838" s="24"/>
      <c r="F838" s="24"/>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6"/>
      <c r="BC838" s="26"/>
      <c r="BD838" s="26"/>
      <c r="BE838" s="26"/>
      <c r="BF838" s="26"/>
      <c r="BG838" s="26"/>
      <c r="BH838" s="26"/>
      <c r="BI838" s="26"/>
      <c r="BJ838" s="26"/>
      <c r="BK838" s="27"/>
    </row>
    <row r="839" spans="2:63" ht="15.5">
      <c r="B839" s="25"/>
      <c r="C839" s="24"/>
      <c r="D839" s="24"/>
      <c r="E839" s="24"/>
      <c r="F839" s="24"/>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6"/>
      <c r="BC839" s="26"/>
      <c r="BD839" s="26"/>
      <c r="BE839" s="26"/>
      <c r="BF839" s="26"/>
      <c r="BG839" s="26"/>
      <c r="BH839" s="26"/>
      <c r="BI839" s="26"/>
      <c r="BJ839" s="26"/>
      <c r="BK839" s="27"/>
    </row>
    <row r="840" spans="2:63" ht="15.5">
      <c r="B840" s="25"/>
      <c r="C840" s="24"/>
      <c r="D840" s="24"/>
      <c r="E840" s="24"/>
      <c r="F840" s="24"/>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6"/>
      <c r="BC840" s="26"/>
      <c r="BD840" s="26"/>
      <c r="BE840" s="26"/>
      <c r="BF840" s="26"/>
      <c r="BG840" s="26"/>
      <c r="BH840" s="26"/>
      <c r="BI840" s="26"/>
      <c r="BJ840" s="26"/>
      <c r="BK840" s="27"/>
    </row>
    <row r="841" spans="2:63" ht="15.5">
      <c r="B841" s="25"/>
      <c r="C841" s="24"/>
      <c r="D841" s="24"/>
      <c r="E841" s="24"/>
      <c r="F841" s="24"/>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6"/>
      <c r="BC841" s="26"/>
      <c r="BD841" s="26"/>
      <c r="BE841" s="26"/>
      <c r="BF841" s="26"/>
      <c r="BG841" s="26"/>
      <c r="BH841" s="26"/>
      <c r="BI841" s="26"/>
      <c r="BJ841" s="26"/>
      <c r="BK841" s="27"/>
    </row>
    <row r="842" spans="2:63" ht="15.5">
      <c r="B842" s="25"/>
      <c r="C842" s="24"/>
      <c r="D842" s="24"/>
      <c r="E842" s="24"/>
      <c r="F842" s="24"/>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6"/>
      <c r="BC842" s="26"/>
      <c r="BD842" s="26"/>
      <c r="BE842" s="26"/>
      <c r="BF842" s="26"/>
      <c r="BG842" s="26"/>
      <c r="BH842" s="26"/>
      <c r="BI842" s="26"/>
      <c r="BJ842" s="26"/>
      <c r="BK842" s="27"/>
    </row>
    <row r="843" spans="2:63" ht="15.5">
      <c r="B843" s="25"/>
      <c r="C843" s="24"/>
      <c r="D843" s="24"/>
      <c r="E843" s="24"/>
      <c r="F843" s="24"/>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6"/>
      <c r="BC843" s="26"/>
      <c r="BD843" s="26"/>
      <c r="BE843" s="26"/>
      <c r="BF843" s="26"/>
      <c r="BG843" s="26"/>
      <c r="BH843" s="26"/>
      <c r="BI843" s="26"/>
      <c r="BJ843" s="26"/>
      <c r="BK843" s="27"/>
    </row>
    <row r="844" spans="2:63" ht="15.5">
      <c r="B844" s="25"/>
      <c r="C844" s="24"/>
      <c r="D844" s="24"/>
      <c r="E844" s="24"/>
      <c r="F844" s="24"/>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6"/>
      <c r="BC844" s="26"/>
      <c r="BD844" s="26"/>
      <c r="BE844" s="26"/>
      <c r="BF844" s="26"/>
      <c r="BG844" s="26"/>
      <c r="BH844" s="26"/>
      <c r="BI844" s="26"/>
      <c r="BJ844" s="26"/>
      <c r="BK844" s="27"/>
    </row>
    <row r="845" spans="2:63" ht="15.5">
      <c r="B845" s="25"/>
      <c r="C845" s="24"/>
      <c r="D845" s="24"/>
      <c r="E845" s="24"/>
      <c r="F845" s="24"/>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6"/>
      <c r="BC845" s="26"/>
      <c r="BD845" s="26"/>
      <c r="BE845" s="26"/>
      <c r="BF845" s="26"/>
      <c r="BG845" s="26"/>
      <c r="BH845" s="26"/>
      <c r="BI845" s="26"/>
      <c r="BJ845" s="26"/>
      <c r="BK845" s="27"/>
    </row>
    <row r="846" spans="2:63" ht="15.5">
      <c r="B846" s="25"/>
      <c r="C846" s="24"/>
      <c r="D846" s="24"/>
      <c r="E846" s="24"/>
      <c r="F846" s="24"/>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6"/>
      <c r="BC846" s="26"/>
      <c r="BD846" s="26"/>
      <c r="BE846" s="26"/>
      <c r="BF846" s="26"/>
      <c r="BG846" s="26"/>
      <c r="BH846" s="26"/>
      <c r="BI846" s="26"/>
      <c r="BJ846" s="26"/>
      <c r="BK846" s="27"/>
    </row>
    <row r="847" spans="2:63" ht="15.5">
      <c r="B847" s="25"/>
      <c r="C847" s="24"/>
      <c r="D847" s="24"/>
      <c r="E847" s="24"/>
      <c r="F847" s="24"/>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6"/>
      <c r="BC847" s="26"/>
      <c r="BD847" s="26"/>
      <c r="BE847" s="26"/>
      <c r="BF847" s="26"/>
      <c r="BG847" s="26"/>
      <c r="BH847" s="26"/>
      <c r="BI847" s="26"/>
      <c r="BJ847" s="26"/>
      <c r="BK847" s="27"/>
    </row>
    <row r="848" spans="2:63" ht="15.5">
      <c r="B848" s="25"/>
      <c r="C848" s="24"/>
      <c r="D848" s="24"/>
      <c r="E848" s="24"/>
      <c r="F848" s="24"/>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6"/>
      <c r="BC848" s="26"/>
      <c r="BD848" s="26"/>
      <c r="BE848" s="26"/>
      <c r="BF848" s="26"/>
      <c r="BG848" s="26"/>
      <c r="BH848" s="26"/>
      <c r="BI848" s="26"/>
      <c r="BJ848" s="26"/>
      <c r="BK848" s="27"/>
    </row>
    <row r="849" spans="2:63" ht="15.5">
      <c r="B849" s="25"/>
      <c r="C849" s="24"/>
      <c r="D849" s="24"/>
      <c r="E849" s="24"/>
      <c r="F849" s="24"/>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6"/>
      <c r="BC849" s="26"/>
      <c r="BD849" s="26"/>
      <c r="BE849" s="26"/>
      <c r="BF849" s="26"/>
      <c r="BG849" s="26"/>
      <c r="BH849" s="26"/>
      <c r="BI849" s="26"/>
      <c r="BJ849" s="26"/>
      <c r="BK849" s="27"/>
    </row>
    <row r="850" spans="2:63" ht="15.5">
      <c r="B850" s="25"/>
      <c r="C850" s="24"/>
      <c r="D850" s="24"/>
      <c r="E850" s="24"/>
      <c r="F850" s="24"/>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6"/>
      <c r="BC850" s="26"/>
      <c r="BD850" s="26"/>
      <c r="BE850" s="26"/>
      <c r="BF850" s="26"/>
      <c r="BG850" s="26"/>
      <c r="BH850" s="26"/>
      <c r="BI850" s="26"/>
      <c r="BJ850" s="26"/>
      <c r="BK850" s="27"/>
    </row>
    <row r="851" spans="2:63" ht="15.5">
      <c r="B851" s="25"/>
      <c r="C851" s="24"/>
      <c r="D851" s="24"/>
      <c r="E851" s="24"/>
      <c r="F851" s="24"/>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6"/>
      <c r="BC851" s="26"/>
      <c r="BD851" s="26"/>
      <c r="BE851" s="26"/>
      <c r="BF851" s="26"/>
      <c r="BG851" s="26"/>
      <c r="BH851" s="26"/>
      <c r="BI851" s="26"/>
      <c r="BJ851" s="26"/>
      <c r="BK851" s="27"/>
    </row>
    <row r="852" spans="2:63" ht="15.5">
      <c r="B852" s="25"/>
      <c r="C852" s="24"/>
      <c r="D852" s="24"/>
      <c r="E852" s="24"/>
      <c r="F852" s="24"/>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6"/>
      <c r="BC852" s="26"/>
      <c r="BD852" s="26"/>
      <c r="BE852" s="26"/>
      <c r="BF852" s="26"/>
      <c r="BG852" s="26"/>
      <c r="BH852" s="26"/>
      <c r="BI852" s="26"/>
      <c r="BJ852" s="26"/>
      <c r="BK852" s="27"/>
    </row>
    <row r="853" spans="2:63" ht="15.5">
      <c r="B853" s="25"/>
      <c r="C853" s="24"/>
      <c r="D853" s="24"/>
      <c r="E853" s="24"/>
      <c r="F853" s="24"/>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6"/>
      <c r="BC853" s="26"/>
      <c r="BD853" s="26"/>
      <c r="BE853" s="26"/>
      <c r="BF853" s="26"/>
      <c r="BG853" s="26"/>
      <c r="BH853" s="26"/>
      <c r="BI853" s="26"/>
      <c r="BJ853" s="26"/>
      <c r="BK853" s="27"/>
    </row>
    <row r="854" spans="2:63" ht="15.5">
      <c r="B854" s="25"/>
      <c r="C854" s="24"/>
      <c r="D854" s="24"/>
      <c r="E854" s="24"/>
      <c r="F854" s="24"/>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6"/>
      <c r="BC854" s="26"/>
      <c r="BD854" s="26"/>
      <c r="BE854" s="26"/>
      <c r="BF854" s="26"/>
      <c r="BG854" s="26"/>
      <c r="BH854" s="26"/>
      <c r="BI854" s="26"/>
      <c r="BJ854" s="26"/>
      <c r="BK854" s="27"/>
    </row>
    <row r="855" spans="2:63" ht="15.5">
      <c r="B855" s="25"/>
      <c r="C855" s="24"/>
      <c r="D855" s="24"/>
      <c r="E855" s="24"/>
      <c r="F855" s="24"/>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6"/>
      <c r="BC855" s="26"/>
      <c r="BD855" s="26"/>
      <c r="BE855" s="26"/>
      <c r="BF855" s="26"/>
      <c r="BG855" s="26"/>
      <c r="BH855" s="26"/>
      <c r="BI855" s="26"/>
      <c r="BJ855" s="26"/>
      <c r="BK855" s="27"/>
    </row>
    <row r="856" spans="2:63" ht="15.5">
      <c r="B856" s="25"/>
      <c r="C856" s="24"/>
      <c r="D856" s="24"/>
      <c r="E856" s="24"/>
      <c r="F856" s="24"/>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6"/>
      <c r="BC856" s="26"/>
      <c r="BD856" s="26"/>
      <c r="BE856" s="26"/>
      <c r="BF856" s="26"/>
      <c r="BG856" s="26"/>
      <c r="BH856" s="26"/>
      <c r="BI856" s="26"/>
      <c r="BJ856" s="26"/>
      <c r="BK856" s="27"/>
    </row>
    <row r="857" spans="2:63" ht="15.5">
      <c r="B857" s="25"/>
      <c r="C857" s="24"/>
      <c r="D857" s="24"/>
      <c r="E857" s="24"/>
      <c r="F857" s="24"/>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6"/>
      <c r="BC857" s="26"/>
      <c r="BD857" s="26"/>
      <c r="BE857" s="26"/>
      <c r="BF857" s="26"/>
      <c r="BG857" s="26"/>
      <c r="BH857" s="26"/>
      <c r="BI857" s="26"/>
      <c r="BJ857" s="26"/>
      <c r="BK857" s="27"/>
    </row>
    <row r="858" spans="2:63" ht="15.5">
      <c r="B858" s="25"/>
      <c r="C858" s="24"/>
      <c r="D858" s="24"/>
      <c r="E858" s="24"/>
      <c r="F858" s="24"/>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6"/>
      <c r="BC858" s="26"/>
      <c r="BD858" s="26"/>
      <c r="BE858" s="26"/>
      <c r="BF858" s="26"/>
      <c r="BG858" s="26"/>
      <c r="BH858" s="26"/>
      <c r="BI858" s="26"/>
      <c r="BJ858" s="26"/>
      <c r="BK858" s="27"/>
    </row>
    <row r="859" spans="2:63" ht="15.5">
      <c r="B859" s="25"/>
      <c r="C859" s="24"/>
      <c r="D859" s="24"/>
      <c r="E859" s="24"/>
      <c r="F859" s="24"/>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6"/>
      <c r="BC859" s="26"/>
      <c r="BD859" s="26"/>
      <c r="BE859" s="26"/>
      <c r="BF859" s="26"/>
      <c r="BG859" s="26"/>
      <c r="BH859" s="26"/>
      <c r="BI859" s="26"/>
      <c r="BJ859" s="26"/>
      <c r="BK859" s="27"/>
    </row>
    <row r="860" spans="2:63" ht="15.5">
      <c r="B860" s="25"/>
      <c r="C860" s="24"/>
      <c r="D860" s="24"/>
      <c r="E860" s="24"/>
      <c r="F860" s="24"/>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6"/>
      <c r="BC860" s="26"/>
      <c r="BD860" s="26"/>
      <c r="BE860" s="26"/>
      <c r="BF860" s="26"/>
      <c r="BG860" s="26"/>
      <c r="BH860" s="26"/>
      <c r="BI860" s="26"/>
      <c r="BJ860" s="26"/>
      <c r="BK860" s="27"/>
    </row>
    <row r="861" spans="2:63" ht="15.5">
      <c r="B861" s="25"/>
      <c r="C861" s="24"/>
      <c r="D861" s="24"/>
      <c r="E861" s="24"/>
      <c r="F861" s="24"/>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6"/>
      <c r="BC861" s="26"/>
      <c r="BD861" s="26"/>
      <c r="BE861" s="26"/>
      <c r="BF861" s="26"/>
      <c r="BG861" s="26"/>
      <c r="BH861" s="26"/>
      <c r="BI861" s="26"/>
      <c r="BJ861" s="26"/>
      <c r="BK861" s="27"/>
    </row>
    <row r="862" spans="2:63" ht="15.5">
      <c r="B862" s="25"/>
      <c r="C862" s="24"/>
      <c r="D862" s="24"/>
      <c r="E862" s="24"/>
      <c r="F862" s="24"/>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6"/>
      <c r="BC862" s="26"/>
      <c r="BD862" s="26"/>
      <c r="BE862" s="26"/>
      <c r="BF862" s="26"/>
      <c r="BG862" s="26"/>
      <c r="BH862" s="26"/>
      <c r="BI862" s="26"/>
      <c r="BJ862" s="26"/>
      <c r="BK862" s="27"/>
    </row>
    <row r="863" spans="2:63" ht="15.5">
      <c r="B863" s="25"/>
      <c r="C863" s="24"/>
      <c r="D863" s="24"/>
      <c r="E863" s="24"/>
      <c r="F863" s="24"/>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6"/>
      <c r="BC863" s="26"/>
      <c r="BD863" s="26"/>
      <c r="BE863" s="26"/>
      <c r="BF863" s="26"/>
      <c r="BG863" s="26"/>
      <c r="BH863" s="26"/>
      <c r="BI863" s="26"/>
      <c r="BJ863" s="26"/>
      <c r="BK863" s="27"/>
    </row>
    <row r="864" spans="2:63" ht="15.5">
      <c r="B864" s="25"/>
      <c r="C864" s="24"/>
      <c r="D864" s="24"/>
      <c r="E864" s="24"/>
      <c r="F864" s="24"/>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6"/>
      <c r="BC864" s="26"/>
      <c r="BD864" s="26"/>
      <c r="BE864" s="26"/>
      <c r="BF864" s="26"/>
      <c r="BG864" s="26"/>
      <c r="BH864" s="26"/>
      <c r="BI864" s="26"/>
      <c r="BJ864" s="26"/>
      <c r="BK864" s="27"/>
    </row>
    <row r="865" spans="2:63" ht="15.5">
      <c r="B865" s="25"/>
      <c r="C865" s="24"/>
      <c r="D865" s="24"/>
      <c r="E865" s="24"/>
      <c r="F865" s="24"/>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6"/>
      <c r="BC865" s="26"/>
      <c r="BD865" s="26"/>
      <c r="BE865" s="26"/>
      <c r="BF865" s="26"/>
      <c r="BG865" s="26"/>
      <c r="BH865" s="26"/>
      <c r="BI865" s="26"/>
      <c r="BJ865" s="26"/>
      <c r="BK865" s="27"/>
    </row>
    <row r="866" spans="2:63" ht="15.5">
      <c r="B866" s="25"/>
      <c r="C866" s="24"/>
      <c r="D866" s="24"/>
      <c r="E866" s="24"/>
      <c r="F866" s="24"/>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6"/>
      <c r="BC866" s="26"/>
      <c r="BD866" s="26"/>
      <c r="BE866" s="26"/>
      <c r="BF866" s="26"/>
      <c r="BG866" s="26"/>
      <c r="BH866" s="26"/>
      <c r="BI866" s="26"/>
      <c r="BJ866" s="26"/>
      <c r="BK866" s="27"/>
    </row>
    <row r="867" spans="2:63" ht="15.5">
      <c r="B867" s="25"/>
      <c r="C867" s="24"/>
      <c r="D867" s="24"/>
      <c r="E867" s="24"/>
      <c r="F867" s="24"/>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6"/>
      <c r="BC867" s="26"/>
      <c r="BD867" s="26"/>
      <c r="BE867" s="26"/>
      <c r="BF867" s="26"/>
      <c r="BG867" s="26"/>
      <c r="BH867" s="26"/>
      <c r="BI867" s="26"/>
      <c r="BJ867" s="26"/>
      <c r="BK867" s="27"/>
    </row>
    <row r="868" spans="2:63" ht="15.5">
      <c r="B868" s="25"/>
      <c r="C868" s="24"/>
      <c r="D868" s="24"/>
      <c r="E868" s="24"/>
      <c r="F868" s="24"/>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6"/>
      <c r="BC868" s="26"/>
      <c r="BD868" s="26"/>
      <c r="BE868" s="26"/>
      <c r="BF868" s="26"/>
      <c r="BG868" s="26"/>
      <c r="BH868" s="26"/>
      <c r="BI868" s="26"/>
      <c r="BJ868" s="26"/>
      <c r="BK868" s="27"/>
    </row>
    <row r="869" spans="2:63" ht="15.5">
      <c r="B869" s="25"/>
      <c r="C869" s="24"/>
      <c r="D869" s="24"/>
      <c r="E869" s="24"/>
      <c r="F869" s="24"/>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6"/>
      <c r="BC869" s="26"/>
      <c r="BD869" s="26"/>
      <c r="BE869" s="26"/>
      <c r="BF869" s="26"/>
      <c r="BG869" s="26"/>
      <c r="BH869" s="26"/>
      <c r="BI869" s="26"/>
      <c r="BJ869" s="26"/>
      <c r="BK869" s="27"/>
    </row>
    <row r="870" spans="2:63" ht="15.5">
      <c r="B870" s="25"/>
      <c r="C870" s="24"/>
      <c r="D870" s="24"/>
      <c r="E870" s="24"/>
      <c r="F870" s="24"/>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6"/>
      <c r="BC870" s="26"/>
      <c r="BD870" s="26"/>
      <c r="BE870" s="26"/>
      <c r="BF870" s="26"/>
      <c r="BG870" s="26"/>
      <c r="BH870" s="26"/>
      <c r="BI870" s="26"/>
      <c r="BJ870" s="26"/>
      <c r="BK870" s="27"/>
    </row>
    <row r="871" spans="2:63" ht="15.5">
      <c r="B871" s="25"/>
      <c r="C871" s="24"/>
      <c r="D871" s="24"/>
      <c r="E871" s="24"/>
      <c r="F871" s="24"/>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6"/>
      <c r="BC871" s="26"/>
      <c r="BD871" s="26"/>
      <c r="BE871" s="26"/>
      <c r="BF871" s="26"/>
      <c r="BG871" s="26"/>
      <c r="BH871" s="26"/>
      <c r="BI871" s="26"/>
      <c r="BJ871" s="26"/>
      <c r="BK871" s="27"/>
    </row>
    <row r="872" spans="2:63" ht="15.5">
      <c r="B872" s="25"/>
      <c r="C872" s="24"/>
      <c r="D872" s="24"/>
      <c r="E872" s="24"/>
      <c r="F872" s="24"/>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6"/>
      <c r="BC872" s="26"/>
      <c r="BD872" s="26"/>
      <c r="BE872" s="26"/>
      <c r="BF872" s="26"/>
      <c r="BG872" s="26"/>
      <c r="BH872" s="26"/>
      <c r="BI872" s="26"/>
      <c r="BJ872" s="26"/>
      <c r="BK872" s="27"/>
    </row>
    <row r="873" spans="2:63" ht="15.5">
      <c r="B873" s="25"/>
      <c r="C873" s="24"/>
      <c r="D873" s="24"/>
      <c r="E873" s="24"/>
      <c r="F873" s="24"/>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6"/>
      <c r="BC873" s="26"/>
      <c r="BD873" s="26"/>
      <c r="BE873" s="26"/>
      <c r="BF873" s="26"/>
      <c r="BG873" s="26"/>
      <c r="BH873" s="26"/>
      <c r="BI873" s="26"/>
      <c r="BJ873" s="26"/>
      <c r="BK873" s="27"/>
    </row>
    <row r="874" spans="2:63" ht="15.5">
      <c r="B874" s="25"/>
      <c r="C874" s="24"/>
      <c r="D874" s="24"/>
      <c r="E874" s="24"/>
      <c r="F874" s="24"/>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6"/>
      <c r="BC874" s="26"/>
      <c r="BD874" s="26"/>
      <c r="BE874" s="26"/>
      <c r="BF874" s="26"/>
      <c r="BG874" s="26"/>
      <c r="BH874" s="26"/>
      <c r="BI874" s="26"/>
      <c r="BJ874" s="26"/>
      <c r="BK874" s="27"/>
    </row>
    <row r="875" spans="2:63" ht="15.5">
      <c r="B875" s="25"/>
      <c r="C875" s="24"/>
      <c r="D875" s="24"/>
      <c r="E875" s="24"/>
      <c r="F875" s="24"/>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6"/>
      <c r="BC875" s="26"/>
      <c r="BD875" s="26"/>
      <c r="BE875" s="26"/>
      <c r="BF875" s="26"/>
      <c r="BG875" s="26"/>
      <c r="BH875" s="26"/>
      <c r="BI875" s="26"/>
      <c r="BJ875" s="26"/>
      <c r="BK875" s="27"/>
    </row>
    <row r="876" spans="2:63" ht="15.5">
      <c r="B876" s="25"/>
      <c r="C876" s="24"/>
      <c r="D876" s="24"/>
      <c r="E876" s="24"/>
      <c r="F876" s="24"/>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6"/>
      <c r="BC876" s="26"/>
      <c r="BD876" s="26"/>
      <c r="BE876" s="26"/>
      <c r="BF876" s="26"/>
      <c r="BG876" s="26"/>
      <c r="BH876" s="26"/>
      <c r="BI876" s="26"/>
      <c r="BJ876" s="26"/>
      <c r="BK876" s="27"/>
    </row>
    <row r="877" spans="2:63" ht="15.5">
      <c r="B877" s="25"/>
      <c r="C877" s="24"/>
      <c r="D877" s="24"/>
      <c r="E877" s="24"/>
      <c r="F877" s="24"/>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6"/>
      <c r="BC877" s="26"/>
      <c r="BD877" s="26"/>
      <c r="BE877" s="26"/>
      <c r="BF877" s="26"/>
      <c r="BG877" s="26"/>
      <c r="BH877" s="26"/>
      <c r="BI877" s="26"/>
      <c r="BJ877" s="26"/>
      <c r="BK877" s="27"/>
    </row>
    <row r="878" spans="2:63" ht="15.5">
      <c r="B878" s="25"/>
      <c r="C878" s="24"/>
      <c r="D878" s="24"/>
      <c r="E878" s="24"/>
      <c r="F878" s="24"/>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6"/>
      <c r="BC878" s="26"/>
      <c r="BD878" s="26"/>
      <c r="BE878" s="26"/>
      <c r="BF878" s="26"/>
      <c r="BG878" s="26"/>
      <c r="BH878" s="26"/>
      <c r="BI878" s="26"/>
      <c r="BJ878" s="26"/>
      <c r="BK878" s="27"/>
    </row>
    <row r="879" spans="2:63" ht="15.5">
      <c r="B879" s="25"/>
      <c r="C879" s="24"/>
      <c r="D879" s="24"/>
      <c r="E879" s="24"/>
      <c r="F879" s="24"/>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6"/>
      <c r="BC879" s="26"/>
      <c r="BD879" s="26"/>
      <c r="BE879" s="26"/>
      <c r="BF879" s="26"/>
      <c r="BG879" s="26"/>
      <c r="BH879" s="26"/>
      <c r="BI879" s="26"/>
      <c r="BJ879" s="26"/>
      <c r="BK879" s="27"/>
    </row>
    <row r="880" spans="2:63" ht="15.5">
      <c r="B880" s="25"/>
      <c r="C880" s="24"/>
      <c r="D880" s="24"/>
      <c r="E880" s="24"/>
      <c r="F880" s="24"/>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6"/>
      <c r="BC880" s="26"/>
      <c r="BD880" s="26"/>
      <c r="BE880" s="26"/>
      <c r="BF880" s="26"/>
      <c r="BG880" s="26"/>
      <c r="BH880" s="26"/>
      <c r="BI880" s="26"/>
      <c r="BJ880" s="26"/>
      <c r="BK880" s="27"/>
    </row>
    <row r="881" spans="2:63" ht="15.5">
      <c r="B881" s="25"/>
      <c r="C881" s="24"/>
      <c r="D881" s="24"/>
      <c r="E881" s="24"/>
      <c r="F881" s="24"/>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6"/>
      <c r="BC881" s="26"/>
      <c r="BD881" s="26"/>
      <c r="BE881" s="26"/>
      <c r="BF881" s="26"/>
      <c r="BG881" s="26"/>
      <c r="BH881" s="26"/>
      <c r="BI881" s="26"/>
      <c r="BJ881" s="26"/>
      <c r="BK881" s="27"/>
    </row>
    <row r="882" spans="2:63" ht="15.5">
      <c r="B882" s="25"/>
      <c r="C882" s="24"/>
      <c r="D882" s="24"/>
      <c r="E882" s="24"/>
      <c r="F882" s="24"/>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6"/>
      <c r="BC882" s="26"/>
      <c r="BD882" s="26"/>
      <c r="BE882" s="26"/>
      <c r="BF882" s="26"/>
      <c r="BG882" s="26"/>
      <c r="BH882" s="26"/>
      <c r="BI882" s="26"/>
      <c r="BJ882" s="26"/>
      <c r="BK882" s="27"/>
    </row>
    <row r="883" spans="2:63" ht="15.5">
      <c r="B883" s="25"/>
      <c r="C883" s="24"/>
      <c r="D883" s="24"/>
      <c r="E883" s="24"/>
      <c r="F883" s="24"/>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6"/>
      <c r="BC883" s="26"/>
      <c r="BD883" s="26"/>
      <c r="BE883" s="26"/>
      <c r="BF883" s="26"/>
      <c r="BG883" s="26"/>
      <c r="BH883" s="26"/>
      <c r="BI883" s="26"/>
      <c r="BJ883" s="26"/>
      <c r="BK883" s="27"/>
    </row>
    <row r="884" spans="2:63" ht="15.5">
      <c r="B884" s="25"/>
      <c r="C884" s="24"/>
      <c r="D884" s="24"/>
      <c r="E884" s="24"/>
      <c r="F884" s="24"/>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6"/>
      <c r="BC884" s="26"/>
      <c r="BD884" s="26"/>
      <c r="BE884" s="26"/>
      <c r="BF884" s="26"/>
      <c r="BG884" s="26"/>
      <c r="BH884" s="26"/>
      <c r="BI884" s="26"/>
      <c r="BJ884" s="26"/>
      <c r="BK884" s="27"/>
    </row>
    <row r="885" spans="2:63" ht="15.5">
      <c r="B885" s="25"/>
      <c r="C885" s="24"/>
      <c r="D885" s="24"/>
      <c r="E885" s="24"/>
      <c r="F885" s="24"/>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6"/>
      <c r="BC885" s="26"/>
      <c r="BD885" s="26"/>
      <c r="BE885" s="26"/>
      <c r="BF885" s="26"/>
      <c r="BG885" s="26"/>
      <c r="BH885" s="26"/>
      <c r="BI885" s="26"/>
      <c r="BJ885" s="26"/>
      <c r="BK885" s="27"/>
    </row>
    <row r="886" spans="2:63" ht="15.5">
      <c r="B886" s="25"/>
      <c r="C886" s="24"/>
      <c r="D886" s="24"/>
      <c r="E886" s="24"/>
      <c r="F886" s="24"/>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6"/>
      <c r="BC886" s="26"/>
      <c r="BD886" s="26"/>
      <c r="BE886" s="26"/>
      <c r="BF886" s="26"/>
      <c r="BG886" s="26"/>
      <c r="BH886" s="26"/>
      <c r="BI886" s="26"/>
      <c r="BJ886" s="26"/>
      <c r="BK886" s="27"/>
    </row>
    <row r="887" spans="2:63" ht="15.5">
      <c r="B887" s="25"/>
      <c r="C887" s="24"/>
      <c r="D887" s="24"/>
      <c r="E887" s="24"/>
      <c r="F887" s="24"/>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6"/>
      <c r="BC887" s="26"/>
      <c r="BD887" s="26"/>
      <c r="BE887" s="26"/>
      <c r="BF887" s="26"/>
      <c r="BG887" s="26"/>
      <c r="BH887" s="26"/>
      <c r="BI887" s="26"/>
      <c r="BJ887" s="26"/>
      <c r="BK887" s="27"/>
    </row>
    <row r="888" spans="2:63" ht="15.5">
      <c r="B888" s="25"/>
      <c r="C888" s="24"/>
      <c r="D888" s="24"/>
      <c r="E888" s="24"/>
      <c r="F888" s="24"/>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6"/>
      <c r="BC888" s="26"/>
      <c r="BD888" s="26"/>
      <c r="BE888" s="26"/>
      <c r="BF888" s="26"/>
      <c r="BG888" s="26"/>
      <c r="BH888" s="26"/>
      <c r="BI888" s="26"/>
      <c r="BJ888" s="26"/>
      <c r="BK888" s="27"/>
    </row>
    <row r="889" spans="2:63" ht="15.5">
      <c r="B889" s="25"/>
      <c r="C889" s="24"/>
      <c r="D889" s="24"/>
      <c r="E889" s="24"/>
      <c r="F889" s="24"/>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6"/>
      <c r="BC889" s="26"/>
      <c r="BD889" s="26"/>
      <c r="BE889" s="26"/>
      <c r="BF889" s="26"/>
      <c r="BG889" s="26"/>
      <c r="BH889" s="26"/>
      <c r="BI889" s="26"/>
      <c r="BJ889" s="26"/>
      <c r="BK889" s="27"/>
    </row>
    <row r="890" spans="2:63" ht="15.5">
      <c r="B890" s="25"/>
      <c r="C890" s="24"/>
      <c r="D890" s="24"/>
      <c r="E890" s="24"/>
      <c r="F890" s="24"/>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6"/>
      <c r="BC890" s="26"/>
      <c r="BD890" s="26"/>
      <c r="BE890" s="26"/>
      <c r="BF890" s="26"/>
      <c r="BG890" s="26"/>
      <c r="BH890" s="26"/>
      <c r="BI890" s="26"/>
      <c r="BJ890" s="26"/>
      <c r="BK890" s="27"/>
    </row>
    <row r="891" spans="2:63" ht="15.5">
      <c r="B891" s="25"/>
      <c r="C891" s="24"/>
      <c r="D891" s="24"/>
      <c r="E891" s="24"/>
      <c r="F891" s="24"/>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6"/>
      <c r="BC891" s="26"/>
      <c r="BD891" s="26"/>
      <c r="BE891" s="26"/>
      <c r="BF891" s="26"/>
      <c r="BG891" s="26"/>
      <c r="BH891" s="26"/>
      <c r="BI891" s="26"/>
      <c r="BJ891" s="26"/>
      <c r="BK891" s="27"/>
    </row>
    <row r="892" spans="2:63" ht="15.5">
      <c r="B892" s="25"/>
      <c r="C892" s="24"/>
      <c r="D892" s="24"/>
      <c r="E892" s="24"/>
      <c r="F892" s="24"/>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6"/>
      <c r="BC892" s="26"/>
      <c r="BD892" s="26"/>
      <c r="BE892" s="26"/>
      <c r="BF892" s="26"/>
      <c r="BG892" s="26"/>
      <c r="BH892" s="26"/>
      <c r="BI892" s="26"/>
      <c r="BJ892" s="26"/>
      <c r="BK892" s="27"/>
    </row>
    <row r="893" spans="2:63" ht="15.5">
      <c r="B893" s="25"/>
      <c r="C893" s="24"/>
      <c r="D893" s="24"/>
      <c r="E893" s="24"/>
      <c r="F893" s="24"/>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6"/>
      <c r="BC893" s="26"/>
      <c r="BD893" s="26"/>
      <c r="BE893" s="26"/>
      <c r="BF893" s="26"/>
      <c r="BG893" s="26"/>
      <c r="BH893" s="26"/>
      <c r="BI893" s="26"/>
      <c r="BJ893" s="26"/>
      <c r="BK893" s="27"/>
    </row>
    <row r="894" spans="2:63" ht="15.5">
      <c r="B894" s="25"/>
      <c r="C894" s="24"/>
      <c r="D894" s="24"/>
      <c r="E894" s="24"/>
      <c r="F894" s="24"/>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6"/>
      <c r="BC894" s="26"/>
      <c r="BD894" s="26"/>
      <c r="BE894" s="26"/>
      <c r="BF894" s="26"/>
      <c r="BG894" s="26"/>
      <c r="BH894" s="26"/>
      <c r="BI894" s="26"/>
      <c r="BJ894" s="26"/>
      <c r="BK894" s="27"/>
    </row>
    <row r="895" spans="2:63" ht="15.5">
      <c r="B895" s="25"/>
      <c r="C895" s="24"/>
      <c r="D895" s="24"/>
      <c r="E895" s="24"/>
      <c r="F895" s="24"/>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6"/>
      <c r="BC895" s="26"/>
      <c r="BD895" s="26"/>
      <c r="BE895" s="26"/>
      <c r="BF895" s="26"/>
      <c r="BG895" s="26"/>
      <c r="BH895" s="26"/>
      <c r="BI895" s="26"/>
      <c r="BJ895" s="26"/>
      <c r="BK895" s="27"/>
    </row>
    <row r="896" spans="2:63" ht="15.5">
      <c r="B896" s="25"/>
      <c r="C896" s="24"/>
      <c r="D896" s="24"/>
      <c r="E896" s="24"/>
      <c r="F896" s="24"/>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6"/>
      <c r="BC896" s="26"/>
      <c r="BD896" s="26"/>
      <c r="BE896" s="26"/>
      <c r="BF896" s="26"/>
      <c r="BG896" s="26"/>
      <c r="BH896" s="26"/>
      <c r="BI896" s="26"/>
      <c r="BJ896" s="26"/>
      <c r="BK896" s="27"/>
    </row>
    <row r="897" spans="2:63" ht="15.5">
      <c r="B897" s="25"/>
      <c r="C897" s="24"/>
      <c r="D897" s="24"/>
      <c r="E897" s="24"/>
      <c r="F897" s="24"/>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6"/>
      <c r="BC897" s="26"/>
      <c r="BD897" s="26"/>
      <c r="BE897" s="26"/>
      <c r="BF897" s="26"/>
      <c r="BG897" s="26"/>
      <c r="BH897" s="26"/>
      <c r="BI897" s="26"/>
      <c r="BJ897" s="26"/>
      <c r="BK897" s="27"/>
    </row>
    <row r="898" spans="2:63" ht="15.5">
      <c r="B898" s="25"/>
      <c r="C898" s="24"/>
      <c r="D898" s="24"/>
      <c r="E898" s="24"/>
      <c r="F898" s="24"/>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6"/>
      <c r="BC898" s="26"/>
      <c r="BD898" s="26"/>
      <c r="BE898" s="26"/>
      <c r="BF898" s="26"/>
      <c r="BG898" s="26"/>
      <c r="BH898" s="26"/>
      <c r="BI898" s="26"/>
      <c r="BJ898" s="26"/>
      <c r="BK898" s="27"/>
    </row>
    <row r="899" spans="2:63" ht="15.5">
      <c r="B899" s="25"/>
      <c r="C899" s="24"/>
      <c r="D899" s="24"/>
      <c r="E899" s="24"/>
      <c r="F899" s="24"/>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6"/>
      <c r="BC899" s="26"/>
      <c r="BD899" s="26"/>
      <c r="BE899" s="26"/>
      <c r="BF899" s="26"/>
      <c r="BG899" s="26"/>
      <c r="BH899" s="26"/>
      <c r="BI899" s="26"/>
      <c r="BJ899" s="26"/>
      <c r="BK899" s="27"/>
    </row>
    <row r="900" spans="2:63" ht="15.5">
      <c r="B900" s="25"/>
      <c r="C900" s="24"/>
      <c r="D900" s="24"/>
      <c r="E900" s="24"/>
      <c r="F900" s="24"/>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6"/>
      <c r="BC900" s="26"/>
      <c r="BD900" s="26"/>
      <c r="BE900" s="26"/>
      <c r="BF900" s="26"/>
      <c r="BG900" s="26"/>
      <c r="BH900" s="26"/>
      <c r="BI900" s="26"/>
      <c r="BJ900" s="26"/>
      <c r="BK900" s="27"/>
    </row>
    <row r="901" spans="2:63" ht="15.5">
      <c r="B901" s="25"/>
      <c r="C901" s="24"/>
      <c r="D901" s="24"/>
      <c r="E901" s="24"/>
      <c r="F901" s="24"/>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6"/>
      <c r="BC901" s="26"/>
      <c r="BD901" s="26"/>
      <c r="BE901" s="26"/>
      <c r="BF901" s="26"/>
      <c r="BG901" s="26"/>
      <c r="BH901" s="26"/>
      <c r="BI901" s="26"/>
      <c r="BJ901" s="26"/>
      <c r="BK901" s="27"/>
    </row>
    <row r="902" spans="2:63" ht="15.5">
      <c r="B902" s="25"/>
      <c r="C902" s="24"/>
      <c r="D902" s="24"/>
      <c r="E902" s="24"/>
      <c r="F902" s="24"/>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6"/>
      <c r="BC902" s="26"/>
      <c r="BD902" s="26"/>
      <c r="BE902" s="26"/>
      <c r="BF902" s="26"/>
      <c r="BG902" s="26"/>
      <c r="BH902" s="26"/>
      <c r="BI902" s="26"/>
      <c r="BJ902" s="26"/>
      <c r="BK902" s="27"/>
    </row>
    <row r="903" spans="2:63" ht="15.5">
      <c r="B903" s="25"/>
      <c r="C903" s="24"/>
      <c r="D903" s="24"/>
      <c r="E903" s="24"/>
      <c r="F903" s="24"/>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6"/>
      <c r="BC903" s="26"/>
      <c r="BD903" s="26"/>
      <c r="BE903" s="26"/>
      <c r="BF903" s="26"/>
      <c r="BG903" s="26"/>
      <c r="BH903" s="26"/>
      <c r="BI903" s="26"/>
      <c r="BJ903" s="26"/>
      <c r="BK903" s="27"/>
    </row>
    <row r="904" spans="2:63" ht="15.5">
      <c r="B904" s="25"/>
      <c r="C904" s="24"/>
      <c r="D904" s="24"/>
      <c r="E904" s="24"/>
      <c r="F904" s="24"/>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6"/>
      <c r="BC904" s="26"/>
      <c r="BD904" s="26"/>
      <c r="BE904" s="26"/>
      <c r="BF904" s="26"/>
      <c r="BG904" s="26"/>
      <c r="BH904" s="26"/>
      <c r="BI904" s="26"/>
      <c r="BJ904" s="26"/>
      <c r="BK904" s="27"/>
    </row>
    <row r="905" spans="2:63" ht="15.5">
      <c r="B905" s="25"/>
      <c r="C905" s="24"/>
      <c r="D905" s="24"/>
      <c r="E905" s="24"/>
      <c r="F905" s="24"/>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6"/>
      <c r="BC905" s="26"/>
      <c r="BD905" s="26"/>
      <c r="BE905" s="26"/>
      <c r="BF905" s="26"/>
      <c r="BG905" s="26"/>
      <c r="BH905" s="26"/>
      <c r="BI905" s="26"/>
      <c r="BJ905" s="26"/>
      <c r="BK905" s="27"/>
    </row>
    <row r="906" spans="2:63" ht="15.5">
      <c r="B906" s="25"/>
      <c r="C906" s="24"/>
      <c r="D906" s="24"/>
      <c r="E906" s="24"/>
      <c r="F906" s="24"/>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6"/>
      <c r="BC906" s="26"/>
      <c r="BD906" s="26"/>
      <c r="BE906" s="26"/>
      <c r="BF906" s="26"/>
      <c r="BG906" s="26"/>
      <c r="BH906" s="26"/>
      <c r="BI906" s="26"/>
      <c r="BJ906" s="26"/>
      <c r="BK906" s="27"/>
    </row>
    <row r="907" spans="2:63" ht="15.5">
      <c r="B907" s="25"/>
      <c r="C907" s="24"/>
      <c r="D907" s="24"/>
      <c r="E907" s="24"/>
      <c r="F907" s="24"/>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6"/>
      <c r="BC907" s="26"/>
      <c r="BD907" s="26"/>
      <c r="BE907" s="26"/>
      <c r="BF907" s="26"/>
      <c r="BG907" s="26"/>
      <c r="BH907" s="26"/>
      <c r="BI907" s="26"/>
      <c r="BJ907" s="26"/>
      <c r="BK907" s="27"/>
    </row>
    <row r="908" spans="2:63" ht="15.5">
      <c r="B908" s="25"/>
      <c r="C908" s="24"/>
      <c r="D908" s="24"/>
      <c r="E908" s="24"/>
      <c r="F908" s="24"/>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6"/>
      <c r="BC908" s="26"/>
      <c r="BD908" s="26"/>
      <c r="BE908" s="26"/>
      <c r="BF908" s="26"/>
      <c r="BG908" s="26"/>
      <c r="BH908" s="26"/>
      <c r="BI908" s="26"/>
      <c r="BJ908" s="26"/>
      <c r="BK908" s="27"/>
    </row>
    <row r="909" spans="2:63" ht="15.5">
      <c r="B909" s="25"/>
      <c r="C909" s="24"/>
      <c r="D909" s="24"/>
      <c r="E909" s="24"/>
      <c r="F909" s="24"/>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6"/>
      <c r="BC909" s="26"/>
      <c r="BD909" s="26"/>
      <c r="BE909" s="26"/>
      <c r="BF909" s="26"/>
      <c r="BG909" s="26"/>
      <c r="BH909" s="26"/>
      <c r="BI909" s="26"/>
      <c r="BJ909" s="26"/>
      <c r="BK909" s="27"/>
    </row>
    <row r="910" spans="2:63" ht="15.5">
      <c r="B910" s="25"/>
      <c r="C910" s="24"/>
      <c r="D910" s="24"/>
      <c r="E910" s="24"/>
      <c r="F910" s="24"/>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6"/>
      <c r="BC910" s="26"/>
      <c r="BD910" s="26"/>
      <c r="BE910" s="26"/>
      <c r="BF910" s="26"/>
      <c r="BG910" s="26"/>
      <c r="BH910" s="26"/>
      <c r="BI910" s="26"/>
      <c r="BJ910" s="26"/>
      <c r="BK910" s="27"/>
    </row>
    <row r="911" spans="2:63" ht="15.5">
      <c r="B911" s="25"/>
      <c r="C911" s="24"/>
      <c r="D911" s="24"/>
      <c r="E911" s="24"/>
      <c r="F911" s="24"/>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6"/>
      <c r="BC911" s="26"/>
      <c r="BD911" s="26"/>
      <c r="BE911" s="26"/>
      <c r="BF911" s="26"/>
      <c r="BG911" s="26"/>
      <c r="BH911" s="26"/>
      <c r="BI911" s="26"/>
      <c r="BJ911" s="26"/>
      <c r="BK911" s="27"/>
    </row>
    <row r="912" spans="2:63" ht="15.5">
      <c r="B912" s="25"/>
      <c r="C912" s="24"/>
      <c r="D912" s="24"/>
      <c r="E912" s="24"/>
      <c r="F912" s="24"/>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6"/>
      <c r="BC912" s="26"/>
      <c r="BD912" s="26"/>
      <c r="BE912" s="26"/>
      <c r="BF912" s="26"/>
      <c r="BG912" s="26"/>
      <c r="BH912" s="26"/>
      <c r="BI912" s="26"/>
      <c r="BJ912" s="26"/>
      <c r="BK912" s="27"/>
    </row>
    <row r="913" spans="2:63" ht="15.5">
      <c r="B913" s="25"/>
      <c r="C913" s="24"/>
      <c r="D913" s="24"/>
      <c r="E913" s="24"/>
      <c r="F913" s="24"/>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6"/>
      <c r="BC913" s="26"/>
      <c r="BD913" s="26"/>
      <c r="BE913" s="26"/>
      <c r="BF913" s="26"/>
      <c r="BG913" s="26"/>
      <c r="BH913" s="26"/>
      <c r="BI913" s="26"/>
      <c r="BJ913" s="26"/>
      <c r="BK913" s="27"/>
    </row>
    <row r="914" spans="2:63" ht="15.5">
      <c r="B914" s="25"/>
      <c r="C914" s="24"/>
      <c r="D914" s="24"/>
      <c r="E914" s="24"/>
      <c r="F914" s="24"/>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6"/>
      <c r="BC914" s="26"/>
      <c r="BD914" s="26"/>
      <c r="BE914" s="26"/>
      <c r="BF914" s="26"/>
      <c r="BG914" s="26"/>
      <c r="BH914" s="26"/>
      <c r="BI914" s="26"/>
      <c r="BJ914" s="26"/>
      <c r="BK914" s="27"/>
    </row>
    <row r="915" spans="2:63" ht="15.5">
      <c r="B915" s="25"/>
      <c r="C915" s="24"/>
      <c r="D915" s="24"/>
      <c r="E915" s="24"/>
      <c r="F915" s="24"/>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6"/>
      <c r="BC915" s="26"/>
      <c r="BD915" s="26"/>
      <c r="BE915" s="26"/>
      <c r="BF915" s="26"/>
      <c r="BG915" s="26"/>
      <c r="BH915" s="26"/>
      <c r="BI915" s="26"/>
      <c r="BJ915" s="26"/>
      <c r="BK915" s="27"/>
    </row>
    <row r="916" spans="2:63" ht="15.5">
      <c r="B916" s="25"/>
      <c r="C916" s="24"/>
      <c r="D916" s="24"/>
      <c r="E916" s="24"/>
      <c r="F916" s="24"/>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6"/>
      <c r="BC916" s="26"/>
      <c r="BD916" s="26"/>
      <c r="BE916" s="26"/>
      <c r="BF916" s="26"/>
      <c r="BG916" s="26"/>
      <c r="BH916" s="26"/>
      <c r="BI916" s="26"/>
      <c r="BJ916" s="26"/>
      <c r="BK916" s="27"/>
    </row>
    <row r="917" spans="2:63" ht="15.5">
      <c r="B917" s="25"/>
      <c r="C917" s="24"/>
      <c r="D917" s="24"/>
      <c r="E917" s="24"/>
      <c r="F917" s="24"/>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6"/>
      <c r="BC917" s="26"/>
      <c r="BD917" s="26"/>
      <c r="BE917" s="26"/>
      <c r="BF917" s="26"/>
      <c r="BG917" s="26"/>
      <c r="BH917" s="26"/>
      <c r="BI917" s="26"/>
      <c r="BJ917" s="26"/>
      <c r="BK917" s="27"/>
    </row>
    <row r="918" spans="2:63" ht="15.5">
      <c r="B918" s="25"/>
      <c r="C918" s="24"/>
      <c r="D918" s="24"/>
      <c r="E918" s="24"/>
      <c r="F918" s="24"/>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6"/>
      <c r="BC918" s="26"/>
      <c r="BD918" s="26"/>
      <c r="BE918" s="26"/>
      <c r="BF918" s="26"/>
      <c r="BG918" s="26"/>
      <c r="BH918" s="26"/>
      <c r="BI918" s="26"/>
      <c r="BJ918" s="26"/>
      <c r="BK918" s="27"/>
    </row>
    <row r="919" spans="2:63" ht="15.5">
      <c r="B919" s="25"/>
      <c r="C919" s="24"/>
      <c r="D919" s="24"/>
      <c r="E919" s="24"/>
      <c r="F919" s="24"/>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6"/>
      <c r="BC919" s="26"/>
      <c r="BD919" s="26"/>
      <c r="BE919" s="26"/>
      <c r="BF919" s="26"/>
      <c r="BG919" s="26"/>
      <c r="BH919" s="26"/>
      <c r="BI919" s="26"/>
      <c r="BJ919" s="26"/>
      <c r="BK919" s="27"/>
    </row>
    <row r="920" spans="2:63" ht="15.5">
      <c r="B920" s="25"/>
      <c r="C920" s="24"/>
      <c r="D920" s="24"/>
      <c r="E920" s="24"/>
      <c r="F920" s="24"/>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6"/>
      <c r="BC920" s="26"/>
      <c r="BD920" s="26"/>
      <c r="BE920" s="26"/>
      <c r="BF920" s="26"/>
      <c r="BG920" s="26"/>
      <c r="BH920" s="26"/>
      <c r="BI920" s="26"/>
      <c r="BJ920" s="26"/>
      <c r="BK920" s="27"/>
    </row>
    <row r="921" spans="2:63" ht="15.5">
      <c r="B921" s="25"/>
      <c r="C921" s="24"/>
      <c r="D921" s="24"/>
      <c r="E921" s="24"/>
      <c r="F921" s="24"/>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6"/>
      <c r="BC921" s="26"/>
      <c r="BD921" s="26"/>
      <c r="BE921" s="26"/>
      <c r="BF921" s="26"/>
      <c r="BG921" s="26"/>
      <c r="BH921" s="26"/>
      <c r="BI921" s="26"/>
      <c r="BJ921" s="26"/>
      <c r="BK921" s="27"/>
    </row>
    <row r="922" spans="2:63" ht="15.5">
      <c r="B922" s="25"/>
      <c r="C922" s="24"/>
      <c r="D922" s="24"/>
      <c r="E922" s="24"/>
      <c r="F922" s="24"/>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6"/>
      <c r="BC922" s="26"/>
      <c r="BD922" s="26"/>
      <c r="BE922" s="26"/>
      <c r="BF922" s="26"/>
      <c r="BG922" s="26"/>
      <c r="BH922" s="26"/>
      <c r="BI922" s="26"/>
      <c r="BJ922" s="26"/>
      <c r="BK922" s="27"/>
    </row>
    <row r="923" spans="2:63" ht="15.5">
      <c r="B923" s="25"/>
      <c r="C923" s="24"/>
      <c r="D923" s="24"/>
      <c r="E923" s="24"/>
      <c r="F923" s="24"/>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6"/>
      <c r="BC923" s="26"/>
      <c r="BD923" s="26"/>
      <c r="BE923" s="26"/>
      <c r="BF923" s="26"/>
      <c r="BG923" s="26"/>
      <c r="BH923" s="26"/>
      <c r="BI923" s="26"/>
      <c r="BJ923" s="26"/>
      <c r="BK923" s="27"/>
    </row>
    <row r="924" spans="2:63" ht="15.5">
      <c r="B924" s="25"/>
      <c r="C924" s="24"/>
      <c r="D924" s="24"/>
      <c r="E924" s="24"/>
      <c r="F924" s="24"/>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6"/>
      <c r="BC924" s="26"/>
      <c r="BD924" s="26"/>
      <c r="BE924" s="26"/>
      <c r="BF924" s="26"/>
      <c r="BG924" s="26"/>
      <c r="BH924" s="26"/>
      <c r="BI924" s="26"/>
      <c r="BJ924" s="26"/>
      <c r="BK924" s="27"/>
    </row>
    <row r="925" spans="2:63" ht="15.5">
      <c r="B925" s="25"/>
      <c r="C925" s="24"/>
      <c r="D925" s="24"/>
      <c r="E925" s="24"/>
      <c r="F925" s="24"/>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6"/>
      <c r="BC925" s="26"/>
      <c r="BD925" s="26"/>
      <c r="BE925" s="26"/>
      <c r="BF925" s="26"/>
      <c r="BG925" s="26"/>
      <c r="BH925" s="26"/>
      <c r="BI925" s="26"/>
      <c r="BJ925" s="26"/>
      <c r="BK925" s="27"/>
    </row>
    <row r="926" spans="2:63" ht="15.5">
      <c r="B926" s="25"/>
      <c r="C926" s="24"/>
      <c r="D926" s="24"/>
      <c r="E926" s="24"/>
      <c r="F926" s="24"/>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6"/>
      <c r="BC926" s="26"/>
      <c r="BD926" s="26"/>
      <c r="BE926" s="26"/>
      <c r="BF926" s="26"/>
      <c r="BG926" s="26"/>
      <c r="BH926" s="26"/>
      <c r="BI926" s="26"/>
      <c r="BJ926" s="26"/>
      <c r="BK926" s="27"/>
    </row>
    <row r="927" spans="2:63" ht="15.5">
      <c r="B927" s="25"/>
      <c r="C927" s="24"/>
      <c r="D927" s="24"/>
      <c r="E927" s="24"/>
      <c r="F927" s="24"/>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6"/>
      <c r="BC927" s="26"/>
      <c r="BD927" s="26"/>
      <c r="BE927" s="26"/>
      <c r="BF927" s="26"/>
      <c r="BG927" s="26"/>
      <c r="BH927" s="26"/>
      <c r="BI927" s="26"/>
      <c r="BJ927" s="26"/>
      <c r="BK927" s="27"/>
    </row>
    <row r="928" spans="2:63" ht="15.5">
      <c r="B928" s="25"/>
      <c r="C928" s="24"/>
      <c r="D928" s="24"/>
      <c r="E928" s="24"/>
      <c r="F928" s="24"/>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6"/>
      <c r="BC928" s="26"/>
      <c r="BD928" s="26"/>
      <c r="BE928" s="26"/>
      <c r="BF928" s="26"/>
      <c r="BG928" s="26"/>
      <c r="BH928" s="26"/>
      <c r="BI928" s="26"/>
      <c r="BJ928" s="26"/>
      <c r="BK928" s="27"/>
    </row>
    <row r="929" spans="2:63" ht="15.5">
      <c r="B929" s="25"/>
      <c r="C929" s="24"/>
      <c r="D929" s="24"/>
      <c r="E929" s="24"/>
      <c r="F929" s="24"/>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6"/>
      <c r="BC929" s="26"/>
      <c r="BD929" s="26"/>
      <c r="BE929" s="26"/>
      <c r="BF929" s="26"/>
      <c r="BG929" s="26"/>
      <c r="BH929" s="26"/>
      <c r="BI929" s="26"/>
      <c r="BJ929" s="26"/>
      <c r="BK929" s="27"/>
    </row>
    <row r="930" spans="2:63" ht="15.5">
      <c r="B930" s="25"/>
      <c r="C930" s="24"/>
      <c r="D930" s="24"/>
      <c r="E930" s="24"/>
      <c r="F930" s="24"/>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6"/>
      <c r="BC930" s="26"/>
      <c r="BD930" s="26"/>
      <c r="BE930" s="26"/>
      <c r="BF930" s="26"/>
      <c r="BG930" s="26"/>
      <c r="BH930" s="26"/>
      <c r="BI930" s="26"/>
      <c r="BJ930" s="26"/>
      <c r="BK930" s="27"/>
    </row>
    <row r="931" spans="2:63" ht="15.5">
      <c r="B931" s="25"/>
      <c r="C931" s="24"/>
      <c r="D931" s="24"/>
      <c r="E931" s="24"/>
      <c r="F931" s="24"/>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6"/>
      <c r="BC931" s="26"/>
      <c r="BD931" s="26"/>
      <c r="BE931" s="26"/>
      <c r="BF931" s="26"/>
      <c r="BG931" s="26"/>
      <c r="BH931" s="26"/>
      <c r="BI931" s="26"/>
      <c r="BJ931" s="26"/>
      <c r="BK931" s="27"/>
    </row>
    <row r="932" spans="2:63" ht="15.5">
      <c r="B932" s="25"/>
      <c r="C932" s="24"/>
      <c r="D932" s="24"/>
      <c r="E932" s="24"/>
      <c r="F932" s="24"/>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6"/>
      <c r="BC932" s="26"/>
      <c r="BD932" s="26"/>
      <c r="BE932" s="26"/>
      <c r="BF932" s="26"/>
      <c r="BG932" s="26"/>
      <c r="BH932" s="26"/>
      <c r="BI932" s="26"/>
      <c r="BJ932" s="26"/>
      <c r="BK932" s="27"/>
    </row>
    <row r="933" spans="2:63" ht="15.5">
      <c r="B933" s="25"/>
      <c r="C933" s="24"/>
      <c r="D933" s="24"/>
      <c r="E933" s="24"/>
      <c r="F933" s="24"/>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6"/>
      <c r="BC933" s="26"/>
      <c r="BD933" s="26"/>
      <c r="BE933" s="26"/>
      <c r="BF933" s="26"/>
      <c r="BG933" s="26"/>
      <c r="BH933" s="26"/>
      <c r="BI933" s="26"/>
      <c r="BJ933" s="26"/>
      <c r="BK933" s="27"/>
    </row>
    <row r="934" spans="2:63" ht="15.5">
      <c r="B934" s="25"/>
      <c r="C934" s="24"/>
      <c r="D934" s="24"/>
      <c r="E934" s="24"/>
      <c r="F934" s="24"/>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6"/>
      <c r="BC934" s="26"/>
      <c r="BD934" s="26"/>
      <c r="BE934" s="26"/>
      <c r="BF934" s="26"/>
      <c r="BG934" s="26"/>
      <c r="BH934" s="26"/>
      <c r="BI934" s="26"/>
      <c r="BJ934" s="26"/>
      <c r="BK934" s="27"/>
    </row>
    <row r="935" spans="2:63" ht="15.5">
      <c r="B935" s="25"/>
      <c r="C935" s="24"/>
      <c r="D935" s="24"/>
      <c r="E935" s="24"/>
      <c r="F935" s="24"/>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6"/>
      <c r="BC935" s="26"/>
      <c r="BD935" s="26"/>
      <c r="BE935" s="26"/>
      <c r="BF935" s="26"/>
      <c r="BG935" s="26"/>
      <c r="BH935" s="26"/>
      <c r="BI935" s="26"/>
      <c r="BJ935" s="26"/>
      <c r="BK935" s="27"/>
    </row>
    <row r="936" spans="2:63" ht="15.5">
      <c r="B936" s="25"/>
      <c r="C936" s="24"/>
      <c r="D936" s="24"/>
      <c r="E936" s="24"/>
      <c r="F936" s="24"/>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6"/>
      <c r="BC936" s="26"/>
      <c r="BD936" s="26"/>
      <c r="BE936" s="26"/>
      <c r="BF936" s="26"/>
      <c r="BG936" s="26"/>
      <c r="BH936" s="26"/>
      <c r="BI936" s="26"/>
      <c r="BJ936" s="26"/>
      <c r="BK936" s="27"/>
    </row>
    <row r="937" spans="2:63" ht="15.5">
      <c r="B937" s="25"/>
      <c r="C937" s="24"/>
      <c r="D937" s="24"/>
      <c r="E937" s="24"/>
      <c r="F937" s="24"/>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6"/>
      <c r="BC937" s="26"/>
      <c r="BD937" s="26"/>
      <c r="BE937" s="26"/>
      <c r="BF937" s="26"/>
      <c r="BG937" s="26"/>
      <c r="BH937" s="26"/>
      <c r="BI937" s="26"/>
      <c r="BJ937" s="26"/>
      <c r="BK937" s="27"/>
    </row>
    <row r="938" spans="2:63" ht="15.5">
      <c r="B938" s="25"/>
      <c r="C938" s="24"/>
      <c r="D938" s="24"/>
      <c r="E938" s="24"/>
      <c r="F938" s="24"/>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6"/>
      <c r="BC938" s="26"/>
      <c r="BD938" s="26"/>
      <c r="BE938" s="26"/>
      <c r="BF938" s="26"/>
      <c r="BG938" s="26"/>
      <c r="BH938" s="26"/>
      <c r="BI938" s="26"/>
      <c r="BJ938" s="26"/>
      <c r="BK938" s="27"/>
    </row>
    <row r="939" spans="2:63" ht="15.5">
      <c r="B939" s="25"/>
      <c r="C939" s="24"/>
      <c r="D939" s="24"/>
      <c r="E939" s="24"/>
      <c r="F939" s="24"/>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6"/>
      <c r="BC939" s="26"/>
      <c r="BD939" s="26"/>
      <c r="BE939" s="26"/>
      <c r="BF939" s="26"/>
      <c r="BG939" s="26"/>
      <c r="BH939" s="26"/>
      <c r="BI939" s="26"/>
      <c r="BJ939" s="26"/>
      <c r="BK939" s="27"/>
    </row>
    <row r="940" spans="2:63" ht="15.5">
      <c r="B940" s="25"/>
      <c r="C940" s="24"/>
      <c r="D940" s="24"/>
      <c r="E940" s="24"/>
      <c r="F940" s="24"/>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6"/>
      <c r="BC940" s="26"/>
      <c r="BD940" s="26"/>
      <c r="BE940" s="26"/>
      <c r="BF940" s="26"/>
      <c r="BG940" s="26"/>
      <c r="BH940" s="26"/>
      <c r="BI940" s="26"/>
      <c r="BJ940" s="26"/>
      <c r="BK940" s="27"/>
    </row>
    <row r="941" spans="2:63" ht="15.5">
      <c r="B941" s="25"/>
      <c r="C941" s="24"/>
      <c r="D941" s="24"/>
      <c r="E941" s="24"/>
      <c r="F941" s="24"/>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6"/>
      <c r="BC941" s="26"/>
      <c r="BD941" s="26"/>
      <c r="BE941" s="26"/>
      <c r="BF941" s="26"/>
      <c r="BG941" s="26"/>
      <c r="BH941" s="26"/>
      <c r="BI941" s="26"/>
      <c r="BJ941" s="26"/>
      <c r="BK941" s="27"/>
    </row>
    <row r="942" spans="2:63" ht="15.5">
      <c r="B942" s="25"/>
      <c r="C942" s="24"/>
      <c r="D942" s="24"/>
      <c r="E942" s="24"/>
      <c r="F942" s="24"/>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6"/>
      <c r="BC942" s="26"/>
      <c r="BD942" s="26"/>
      <c r="BE942" s="26"/>
      <c r="BF942" s="26"/>
      <c r="BG942" s="26"/>
      <c r="BH942" s="26"/>
      <c r="BI942" s="26"/>
      <c r="BJ942" s="26"/>
      <c r="BK942" s="27"/>
    </row>
    <row r="943" spans="2:63" ht="15.5">
      <c r="B943" s="25"/>
      <c r="C943" s="24"/>
      <c r="D943" s="24"/>
      <c r="E943" s="24"/>
      <c r="F943" s="24"/>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6"/>
      <c r="BC943" s="26"/>
      <c r="BD943" s="26"/>
      <c r="BE943" s="26"/>
      <c r="BF943" s="26"/>
      <c r="BG943" s="26"/>
      <c r="BH943" s="26"/>
      <c r="BI943" s="26"/>
      <c r="BJ943" s="26"/>
      <c r="BK943" s="27"/>
    </row>
    <row r="944" spans="2:63" ht="15.5">
      <c r="B944" s="25"/>
      <c r="C944" s="24"/>
      <c r="D944" s="24"/>
      <c r="E944" s="24"/>
      <c r="F944" s="24"/>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6"/>
      <c r="BC944" s="26"/>
      <c r="BD944" s="26"/>
      <c r="BE944" s="26"/>
      <c r="BF944" s="26"/>
      <c r="BG944" s="26"/>
      <c r="BH944" s="26"/>
      <c r="BI944" s="26"/>
      <c r="BJ944" s="26"/>
      <c r="BK944" s="27"/>
    </row>
    <row r="945" spans="2:63" ht="15.5">
      <c r="B945" s="25"/>
      <c r="C945" s="24"/>
      <c r="D945" s="24"/>
      <c r="E945" s="24"/>
      <c r="F945" s="24"/>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6"/>
      <c r="BC945" s="26"/>
      <c r="BD945" s="26"/>
      <c r="BE945" s="26"/>
      <c r="BF945" s="26"/>
      <c r="BG945" s="26"/>
      <c r="BH945" s="26"/>
      <c r="BI945" s="26"/>
      <c r="BJ945" s="26"/>
      <c r="BK945" s="27"/>
    </row>
    <row r="946" spans="2:63" ht="15.5">
      <c r="B946" s="25"/>
      <c r="C946" s="24"/>
      <c r="D946" s="24"/>
      <c r="E946" s="24"/>
      <c r="F946" s="24"/>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6"/>
      <c r="BC946" s="26"/>
      <c r="BD946" s="26"/>
      <c r="BE946" s="26"/>
      <c r="BF946" s="26"/>
      <c r="BG946" s="26"/>
      <c r="BH946" s="26"/>
      <c r="BI946" s="26"/>
      <c r="BJ946" s="26"/>
      <c r="BK946" s="27"/>
    </row>
    <row r="947" spans="2:63" ht="15.5">
      <c r="B947" s="25"/>
      <c r="C947" s="24"/>
      <c r="D947" s="24"/>
      <c r="E947" s="24"/>
      <c r="F947" s="24"/>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6"/>
      <c r="BC947" s="26"/>
      <c r="BD947" s="26"/>
      <c r="BE947" s="26"/>
      <c r="BF947" s="26"/>
      <c r="BG947" s="26"/>
      <c r="BH947" s="26"/>
      <c r="BI947" s="26"/>
      <c r="BJ947" s="26"/>
      <c r="BK947" s="27"/>
    </row>
    <row r="948" spans="2:63" ht="15.5">
      <c r="B948" s="25"/>
      <c r="C948" s="24"/>
      <c r="D948" s="24"/>
      <c r="E948" s="24"/>
      <c r="F948" s="24"/>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6"/>
      <c r="BC948" s="26"/>
      <c r="BD948" s="26"/>
      <c r="BE948" s="26"/>
      <c r="BF948" s="26"/>
      <c r="BG948" s="26"/>
      <c r="BH948" s="26"/>
      <c r="BI948" s="26"/>
      <c r="BJ948" s="26"/>
      <c r="BK948" s="27"/>
    </row>
    <row r="949" spans="2:63" ht="15.5">
      <c r="B949" s="25"/>
      <c r="C949" s="24"/>
      <c r="D949" s="24"/>
      <c r="E949" s="24"/>
      <c r="F949" s="24"/>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6"/>
      <c r="BC949" s="26"/>
      <c r="BD949" s="26"/>
      <c r="BE949" s="26"/>
      <c r="BF949" s="26"/>
      <c r="BG949" s="26"/>
      <c r="BH949" s="26"/>
      <c r="BI949" s="26"/>
      <c r="BJ949" s="26"/>
      <c r="BK949" s="27"/>
    </row>
    <row r="950" spans="2:63" ht="15.5">
      <c r="B950" s="25"/>
      <c r="C950" s="24"/>
      <c r="D950" s="24"/>
      <c r="E950" s="24"/>
      <c r="F950" s="24"/>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6"/>
      <c r="BC950" s="26"/>
      <c r="BD950" s="26"/>
      <c r="BE950" s="26"/>
      <c r="BF950" s="26"/>
      <c r="BG950" s="26"/>
      <c r="BH950" s="26"/>
      <c r="BI950" s="26"/>
      <c r="BJ950" s="26"/>
      <c r="BK950" s="27"/>
    </row>
    <row r="951" spans="2:63" ht="15.5">
      <c r="B951" s="25"/>
      <c r="C951" s="24"/>
      <c r="D951" s="24"/>
      <c r="E951" s="24"/>
      <c r="F951" s="24"/>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6"/>
      <c r="BC951" s="26"/>
      <c r="BD951" s="26"/>
      <c r="BE951" s="26"/>
      <c r="BF951" s="26"/>
      <c r="BG951" s="26"/>
      <c r="BH951" s="26"/>
      <c r="BI951" s="26"/>
      <c r="BJ951" s="26"/>
      <c r="BK951" s="27"/>
    </row>
    <row r="952" spans="2:63" ht="15.5">
      <c r="B952" s="25"/>
      <c r="C952" s="24"/>
      <c r="D952" s="24"/>
      <c r="E952" s="24"/>
      <c r="F952" s="24"/>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6"/>
      <c r="BC952" s="26"/>
      <c r="BD952" s="26"/>
      <c r="BE952" s="26"/>
      <c r="BF952" s="26"/>
      <c r="BG952" s="26"/>
      <c r="BH952" s="26"/>
      <c r="BI952" s="26"/>
      <c r="BJ952" s="26"/>
      <c r="BK952" s="27"/>
    </row>
    <row r="953" spans="2:63" ht="15.5">
      <c r="B953" s="25"/>
      <c r="C953" s="24"/>
      <c r="D953" s="24"/>
      <c r="E953" s="24"/>
      <c r="F953" s="24"/>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6"/>
      <c r="BC953" s="26"/>
      <c r="BD953" s="26"/>
      <c r="BE953" s="26"/>
      <c r="BF953" s="26"/>
      <c r="BG953" s="26"/>
      <c r="BH953" s="26"/>
      <c r="BI953" s="26"/>
      <c r="BJ953" s="26"/>
      <c r="BK953" s="27"/>
    </row>
    <row r="954" spans="2:63" ht="15.5">
      <c r="B954" s="25"/>
      <c r="C954" s="24"/>
      <c r="D954" s="24"/>
      <c r="E954" s="24"/>
      <c r="F954" s="24"/>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6"/>
      <c r="BC954" s="26"/>
      <c r="BD954" s="26"/>
      <c r="BE954" s="26"/>
      <c r="BF954" s="26"/>
      <c r="BG954" s="26"/>
      <c r="BH954" s="26"/>
      <c r="BI954" s="26"/>
      <c r="BJ954" s="26"/>
      <c r="BK954" s="27"/>
    </row>
    <row r="955" spans="2:63" ht="15.5">
      <c r="B955" s="25"/>
      <c r="C955" s="24"/>
      <c r="D955" s="24"/>
      <c r="E955" s="24"/>
      <c r="F955" s="24"/>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6"/>
      <c r="BC955" s="26"/>
      <c r="BD955" s="26"/>
      <c r="BE955" s="26"/>
      <c r="BF955" s="26"/>
      <c r="BG955" s="26"/>
      <c r="BH955" s="26"/>
      <c r="BI955" s="26"/>
      <c r="BJ955" s="26"/>
      <c r="BK955" s="27"/>
    </row>
    <row r="956" spans="2:63" ht="15.5">
      <c r="B956" s="25"/>
      <c r="C956" s="24"/>
      <c r="D956" s="24"/>
      <c r="E956" s="24"/>
      <c r="F956" s="24"/>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6"/>
      <c r="BC956" s="26"/>
      <c r="BD956" s="26"/>
      <c r="BE956" s="26"/>
      <c r="BF956" s="26"/>
      <c r="BG956" s="26"/>
      <c r="BH956" s="26"/>
      <c r="BI956" s="26"/>
      <c r="BJ956" s="26"/>
      <c r="BK956" s="27"/>
    </row>
    <row r="957" spans="2:63" ht="15.5">
      <c r="B957" s="25"/>
      <c r="C957" s="24"/>
      <c r="D957" s="24"/>
      <c r="E957" s="24"/>
      <c r="F957" s="24"/>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6"/>
      <c r="BC957" s="26"/>
      <c r="BD957" s="26"/>
      <c r="BE957" s="26"/>
      <c r="BF957" s="26"/>
      <c r="BG957" s="26"/>
      <c r="BH957" s="26"/>
      <c r="BI957" s="26"/>
      <c r="BJ957" s="26"/>
      <c r="BK957" s="27"/>
    </row>
  </sheetData>
  <mergeCells count="27">
    <mergeCell ref="AM5:AP5"/>
    <mergeCell ref="AW5:AY5"/>
    <mergeCell ref="D6:G6"/>
    <mergeCell ref="H6:M6"/>
    <mergeCell ref="N6:R6"/>
    <mergeCell ref="S6:V6"/>
    <mergeCell ref="AA6:AD6"/>
    <mergeCell ref="AE6:AH6"/>
    <mergeCell ref="AI6:AL6"/>
    <mergeCell ref="AM6:AP6"/>
    <mergeCell ref="D5:R5"/>
    <mergeCell ref="S5:V5"/>
    <mergeCell ref="W5:Z5"/>
    <mergeCell ref="AA5:AD5"/>
    <mergeCell ref="AE5:AH5"/>
    <mergeCell ref="AI5:AL5"/>
    <mergeCell ref="AW6:AZ6"/>
    <mergeCell ref="C68:I68"/>
    <mergeCell ref="C69:I69"/>
    <mergeCell ref="C83:I83"/>
    <mergeCell ref="C84:I84"/>
    <mergeCell ref="C23:J23"/>
    <mergeCell ref="C24:J24"/>
    <mergeCell ref="C36:I36"/>
    <mergeCell ref="C37:I37"/>
    <mergeCell ref="C53:I53"/>
    <mergeCell ref="C54:I54"/>
  </mergeCells>
  <dataValidations count="1">
    <dataValidation allowBlank="1" showInputMessage="1" showErrorMessage="1" prompt="Title of this worksheet is in cells B1 through D1" sqref="B2" xr:uid="{35AE30BB-322E-4079-BEA0-C2B7D333C280}"/>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6B4D3979-0445-41CD-B8B8-247F09D219BA}">
          <x14:formula1>
            <xm:f>'Ref tables'!$T$4:$T$6</xm:f>
          </x14:formula1>
          <xm:sqref>E86:E95</xm:sqref>
        </x14:dataValidation>
        <x14:dataValidation type="list" allowBlank="1" showInputMessage="1" showErrorMessage="1" xr:uid="{14722C94-73B0-4F3F-8941-47175A69722D}">
          <x14:formula1>
            <xm:f>'Ref tables'!$P$4:$P$6</xm:f>
          </x14:formula1>
          <xm:sqref>E71:E80</xm:sqref>
        </x14:dataValidation>
        <x14:dataValidation type="list" allowBlank="1" showInputMessage="1" showErrorMessage="1" xr:uid="{F308FE6E-AB55-450F-A745-C6EEB6F20F8E}">
          <x14:formula1>
            <xm:f>'Ref tables'!$L$4:$L$5</xm:f>
          </x14:formula1>
          <xm:sqref>E56:E65</xm:sqref>
        </x14:dataValidation>
        <x14:dataValidation type="list" allowBlank="1" showInputMessage="1" showErrorMessage="1" xr:uid="{A4B94089-F688-4F53-A885-7775ADC10E30}">
          <x14:formula1>
            <xm:f>'Ref tables'!$G$4:$G$8</xm:f>
          </x14:formula1>
          <xm:sqref>E39:E50</xm:sqref>
        </x14:dataValidation>
        <x14:dataValidation type="list" allowBlank="1" showInputMessage="1" showErrorMessage="1" xr:uid="{CA68A77C-318F-473A-9895-FF4523877AB0}">
          <x14:formula1>
            <xm:f>'Ref tables'!$C$4:$C$5</xm:f>
          </x14:formula1>
          <xm:sqref>F26:F33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DF8A-65C8-47C2-A22C-BD016CBAE727}">
  <sheetPr>
    <tabColor rgb="FF00B0F0"/>
  </sheetPr>
  <dimension ref="A1:BJ897"/>
  <sheetViews>
    <sheetView showGridLines="0" tabSelected="1" zoomScale="70" zoomScaleNormal="70" workbookViewId="0">
      <selection activeCell="K23" sqref="K23"/>
    </sheetView>
  </sheetViews>
  <sheetFormatPr defaultColWidth="14.453125" defaultRowHeight="15" customHeight="1"/>
  <cols>
    <col min="1" max="1" width="2.7265625" style="1" customWidth="1"/>
    <col min="2" max="2" width="14.81640625" style="23" customWidth="1"/>
    <col min="3" max="6" width="15.7265625" style="23" customWidth="1"/>
    <col min="7" max="7" width="12.54296875" style="23" customWidth="1"/>
    <col min="8" max="8" width="14.453125" style="23" customWidth="1"/>
    <col min="9" max="9" width="15.1796875" style="23" customWidth="1"/>
    <col min="10" max="10" width="14.26953125" style="23" bestFit="1" customWidth="1"/>
    <col min="11" max="11" width="12.54296875" style="23" customWidth="1"/>
    <col min="12" max="12" width="16.7265625" style="23" customWidth="1"/>
    <col min="13" max="13" width="58.08984375" style="23" bestFit="1" customWidth="1"/>
    <col min="14" max="14" width="13.54296875" style="23" customWidth="1"/>
    <col min="15" max="15" width="15.7265625" style="23" customWidth="1"/>
    <col min="16" max="16" width="12.54296875" style="23" customWidth="1"/>
    <col min="17" max="17" width="21.81640625" style="23" customWidth="1"/>
    <col min="18" max="20" width="15.7265625" style="23" customWidth="1"/>
    <col min="21" max="22" width="9.1796875" style="23" customWidth="1"/>
    <col min="23" max="23" width="19.453125" style="23" customWidth="1"/>
    <col min="24" max="24" width="14.08984375" style="23" customWidth="1"/>
    <col min="25" max="25" width="18.26953125" style="23" customWidth="1"/>
    <col min="26" max="26" width="9.1796875" style="23" customWidth="1"/>
    <col min="27" max="28" width="8" style="23" customWidth="1"/>
    <col min="29" max="29" width="14.453125" style="23" customWidth="1"/>
    <col min="30" max="16384" width="14.453125" style="23"/>
  </cols>
  <sheetData>
    <row r="1" spans="1:62" s="1" customFormat="1" ht="9" customHeight="1"/>
    <row r="2" spans="1:62" s="238" customFormat="1" ht="30" customHeight="1">
      <c r="B2" s="239"/>
      <c r="C2" s="240">
        <v>45</v>
      </c>
      <c r="D2" s="240">
        <v>46</v>
      </c>
      <c r="E2" s="240">
        <v>47</v>
      </c>
      <c r="F2" s="240">
        <v>48</v>
      </c>
      <c r="G2" s="241">
        <v>49</v>
      </c>
      <c r="H2" s="241">
        <v>50</v>
      </c>
      <c r="I2" s="241">
        <v>51</v>
      </c>
      <c r="J2" s="241">
        <v>52</v>
      </c>
      <c r="K2" s="241">
        <v>53</v>
      </c>
      <c r="L2" s="241">
        <v>54</v>
      </c>
      <c r="M2" s="241">
        <v>55</v>
      </c>
      <c r="N2" s="241">
        <v>56</v>
      </c>
      <c r="O2" s="241">
        <v>57</v>
      </c>
      <c r="P2" s="241">
        <v>123</v>
      </c>
      <c r="Q2" s="241">
        <v>124</v>
      </c>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3"/>
      <c r="BB2" s="243"/>
      <c r="BC2" s="243"/>
      <c r="BD2" s="243"/>
      <c r="BE2" s="243"/>
      <c r="BF2" s="243"/>
      <c r="BG2" s="243"/>
      <c r="BH2" s="243"/>
      <c r="BI2" s="243"/>
      <c r="BJ2" s="244"/>
    </row>
    <row r="3" spans="1:62" ht="5.25" customHeight="1">
      <c r="A3" s="28"/>
      <c r="B3" s="29"/>
      <c r="C3" s="29"/>
      <c r="D3" s="29"/>
      <c r="E3" s="29"/>
      <c r="F3" s="29"/>
      <c r="G3" s="29"/>
      <c r="H3" s="29"/>
      <c r="I3" s="29"/>
      <c r="J3" s="29"/>
      <c r="K3" s="29"/>
      <c r="L3" s="29"/>
      <c r="M3" s="29"/>
      <c r="N3" s="29"/>
      <c r="O3" s="29"/>
      <c r="P3" s="29"/>
      <c r="Q3" s="29"/>
    </row>
    <row r="4" spans="1:62" ht="5.25" customHeight="1">
      <c r="A4" s="23"/>
    </row>
    <row r="5" spans="1:62" s="156" customFormat="1" ht="15.65" customHeight="1">
      <c r="A5" s="155"/>
      <c r="B5" s="331" t="s">
        <v>72</v>
      </c>
      <c r="C5" s="331"/>
      <c r="D5" s="331"/>
      <c r="E5" s="331"/>
      <c r="F5" s="331"/>
      <c r="G5" s="331"/>
      <c r="H5" s="331"/>
      <c r="I5" s="331"/>
      <c r="J5" s="331"/>
      <c r="K5" s="331"/>
      <c r="L5" s="331"/>
      <c r="M5" s="331"/>
      <c r="N5" s="331"/>
      <c r="O5" s="331"/>
      <c r="P5" s="331"/>
      <c r="Q5" s="331"/>
    </row>
    <row r="6" spans="1:62" ht="5.25" customHeight="1">
      <c r="A6" s="23"/>
    </row>
    <row r="7" spans="1:62" s="28" customFormat="1" ht="28" customHeight="1">
      <c r="A7" s="157"/>
      <c r="B7" s="158"/>
      <c r="C7" s="332" t="s">
        <v>73</v>
      </c>
      <c r="D7" s="333"/>
      <c r="E7" s="333"/>
      <c r="F7" s="334"/>
      <c r="G7" s="335" t="s">
        <v>74</v>
      </c>
      <c r="H7" s="336"/>
      <c r="I7" s="337"/>
      <c r="J7" s="337"/>
      <c r="K7" s="337"/>
      <c r="L7" s="337"/>
      <c r="M7" s="159"/>
      <c r="N7" s="159"/>
      <c r="O7" s="159"/>
      <c r="P7" s="159"/>
      <c r="Q7" s="160" t="s">
        <v>75</v>
      </c>
      <c r="R7" s="161"/>
      <c r="S7" s="161"/>
      <c r="T7" s="161"/>
      <c r="U7" s="161"/>
      <c r="V7" s="161"/>
      <c r="W7" s="161"/>
      <c r="X7" s="161"/>
      <c r="Y7" s="161"/>
      <c r="Z7" s="161"/>
      <c r="AA7" s="161"/>
      <c r="AB7" s="161"/>
    </row>
    <row r="8" spans="1:62" ht="70" customHeight="1">
      <c r="B8" s="162" t="s">
        <v>20</v>
      </c>
      <c r="C8" s="163" t="s">
        <v>76</v>
      </c>
      <c r="D8" s="163" t="s">
        <v>77</v>
      </c>
      <c r="E8" s="164" t="s">
        <v>78</v>
      </c>
      <c r="F8" s="165" t="s">
        <v>79</v>
      </c>
      <c r="G8" s="166" t="s">
        <v>80</v>
      </c>
      <c r="H8" s="167" t="s">
        <v>81</v>
      </c>
      <c r="I8" s="168" t="s">
        <v>82</v>
      </c>
      <c r="J8" s="167" t="s">
        <v>81</v>
      </c>
      <c r="K8" s="168" t="s">
        <v>83</v>
      </c>
      <c r="L8" s="167" t="s">
        <v>81</v>
      </c>
      <c r="M8" s="168" t="s">
        <v>84</v>
      </c>
      <c r="N8" s="167" t="s">
        <v>81</v>
      </c>
      <c r="O8" s="168" t="s">
        <v>85</v>
      </c>
      <c r="P8" s="167" t="s">
        <v>81</v>
      </c>
      <c r="Q8" s="167" t="s">
        <v>86</v>
      </c>
      <c r="R8" s="35"/>
      <c r="S8" s="35"/>
      <c r="T8" s="35"/>
      <c r="U8" s="35"/>
      <c r="V8" s="35"/>
      <c r="W8" s="35"/>
      <c r="X8" s="35"/>
      <c r="Y8" s="35"/>
      <c r="Z8" s="35"/>
      <c r="AA8" s="35"/>
      <c r="AB8" s="35"/>
    </row>
    <row r="9" spans="1:62" ht="14.25" customHeight="1">
      <c r="B9" s="169">
        <v>1</v>
      </c>
      <c r="C9" s="170"/>
      <c r="D9" s="171"/>
      <c r="E9" s="171"/>
      <c r="F9" s="171"/>
      <c r="G9" s="172">
        <f>B25</f>
        <v>0</v>
      </c>
      <c r="H9" s="173">
        <f>E25</f>
        <v>0</v>
      </c>
      <c r="I9" s="172">
        <f>G25</f>
        <v>0</v>
      </c>
      <c r="J9" s="173">
        <f>J25</f>
        <v>0</v>
      </c>
      <c r="K9" s="172">
        <f>L25</f>
        <v>0</v>
      </c>
      <c r="L9" s="173">
        <f>O25</f>
        <v>0</v>
      </c>
      <c r="M9" s="173">
        <f>Q25</f>
        <v>0</v>
      </c>
      <c r="N9" s="173">
        <f>T25</f>
        <v>0</v>
      </c>
      <c r="O9" s="173">
        <f>V25</f>
        <v>0</v>
      </c>
      <c r="P9" s="173">
        <f>Y25</f>
        <v>0</v>
      </c>
      <c r="Q9" s="174">
        <f>N9+L9+J9+H9+P9</f>
        <v>0</v>
      </c>
      <c r="R9" s="35"/>
      <c r="S9" s="35"/>
      <c r="T9" s="35"/>
      <c r="U9" s="35"/>
      <c r="V9" s="35"/>
      <c r="W9" s="35"/>
      <c r="X9" s="35"/>
      <c r="Y9" s="35"/>
      <c r="Z9" s="35"/>
      <c r="AA9" s="35"/>
      <c r="AB9" s="35"/>
    </row>
    <row r="10" spans="1:62" ht="14.25" hidden="1" customHeight="1">
      <c r="B10" s="175" t="s">
        <v>87</v>
      </c>
      <c r="C10" s="176"/>
      <c r="D10" s="177"/>
      <c r="E10" s="177"/>
      <c r="F10" s="177"/>
      <c r="G10" s="178"/>
      <c r="H10" s="179"/>
      <c r="I10" s="180"/>
      <c r="J10" s="180" t="s">
        <v>52</v>
      </c>
      <c r="K10" s="180"/>
      <c r="L10" s="181"/>
      <c r="M10" s="182"/>
      <c r="N10" s="182"/>
      <c r="O10" s="182"/>
      <c r="P10" s="182"/>
      <c r="Q10" s="183"/>
      <c r="R10" s="35"/>
      <c r="S10" s="35"/>
      <c r="T10" s="35"/>
      <c r="U10" s="35"/>
      <c r="V10" s="35"/>
      <c r="W10" s="35"/>
      <c r="X10" s="35"/>
      <c r="Y10" s="35"/>
      <c r="Z10" s="35"/>
      <c r="AA10" s="35"/>
      <c r="AB10" s="35"/>
    </row>
    <row r="11" spans="1:62" ht="14.25" hidden="1" customHeight="1">
      <c r="B11" s="175" t="s">
        <v>88</v>
      </c>
      <c r="C11" s="176"/>
      <c r="D11" s="177"/>
      <c r="E11" s="177"/>
      <c r="F11" s="177"/>
      <c r="G11" s="178"/>
      <c r="H11" s="179"/>
      <c r="I11" s="180"/>
      <c r="J11" s="180"/>
      <c r="K11" s="180"/>
      <c r="L11" s="181"/>
      <c r="M11" s="182"/>
      <c r="N11" s="182"/>
      <c r="O11" s="182"/>
      <c r="P11" s="182"/>
      <c r="Q11" s="182"/>
      <c r="R11" s="184"/>
      <c r="S11" s="35"/>
      <c r="T11" s="35"/>
      <c r="U11" s="35"/>
      <c r="V11" s="35"/>
      <c r="W11" s="35"/>
      <c r="X11" s="35"/>
      <c r="Y11" s="35"/>
      <c r="Z11" s="35"/>
      <c r="AA11" s="35"/>
      <c r="AB11" s="35"/>
      <c r="AC11" s="35"/>
    </row>
    <row r="12" spans="1:62" ht="14.25" hidden="1" customHeight="1">
      <c r="B12" s="175" t="s">
        <v>89</v>
      </c>
      <c r="C12" s="176"/>
      <c r="D12" s="177"/>
      <c r="E12" s="177"/>
      <c r="F12" s="177"/>
      <c r="G12" s="178"/>
      <c r="H12" s="179"/>
      <c r="I12" s="180"/>
      <c r="J12" s="180"/>
      <c r="K12" s="180"/>
      <c r="L12" s="181"/>
      <c r="M12" s="182"/>
      <c r="N12" s="182"/>
      <c r="O12" s="182"/>
      <c r="P12" s="182"/>
      <c r="Q12" s="182"/>
      <c r="R12" s="184"/>
      <c r="S12" s="35"/>
      <c r="T12" s="35"/>
      <c r="U12" s="35"/>
      <c r="V12" s="35"/>
      <c r="W12" s="35"/>
      <c r="X12" s="35"/>
      <c r="Y12" s="35"/>
      <c r="Z12" s="35"/>
      <c r="AA12" s="35"/>
      <c r="AB12" s="35"/>
      <c r="AC12" s="35"/>
    </row>
    <row r="13" spans="1:62" ht="14.25" hidden="1" customHeight="1">
      <c r="B13" s="175" t="s">
        <v>90</v>
      </c>
      <c r="C13" s="176"/>
      <c r="D13" s="177"/>
      <c r="E13" s="177"/>
      <c r="F13" s="177"/>
      <c r="G13" s="178"/>
      <c r="H13" s="179"/>
      <c r="I13" s="180"/>
      <c r="J13" s="180"/>
      <c r="K13" s="180"/>
      <c r="L13" s="181"/>
      <c r="M13" s="182"/>
      <c r="N13" s="182"/>
      <c r="O13" s="182"/>
      <c r="P13" s="182"/>
      <c r="Q13" s="182"/>
      <c r="R13" s="184"/>
      <c r="S13" s="35"/>
      <c r="T13" s="35"/>
      <c r="U13" s="35"/>
      <c r="V13" s="35"/>
      <c r="W13" s="35"/>
      <c r="X13" s="35"/>
      <c r="Y13" s="35"/>
      <c r="Z13" s="35"/>
      <c r="AA13" s="35"/>
      <c r="AB13" s="35"/>
      <c r="AC13" s="35"/>
    </row>
    <row r="14" spans="1:62" ht="14.25" hidden="1" customHeight="1">
      <c r="B14" s="175" t="s">
        <v>91</v>
      </c>
      <c r="C14" s="176"/>
      <c r="D14" s="177"/>
      <c r="E14" s="177"/>
      <c r="F14" s="177"/>
      <c r="G14" s="178"/>
      <c r="H14" s="179"/>
      <c r="I14" s="180"/>
      <c r="J14" s="180"/>
      <c r="K14" s="180"/>
      <c r="L14" s="181"/>
      <c r="M14" s="182"/>
      <c r="N14" s="182"/>
      <c r="O14" s="182"/>
      <c r="P14" s="182"/>
      <c r="Q14" s="182"/>
      <c r="R14" s="184"/>
      <c r="S14" s="35"/>
      <c r="T14" s="35"/>
      <c r="U14" s="35"/>
      <c r="V14" s="35"/>
      <c r="W14" s="35"/>
      <c r="X14" s="35"/>
      <c r="Y14" s="35"/>
      <c r="Z14" s="35"/>
      <c r="AA14" s="35"/>
      <c r="AB14" s="35"/>
      <c r="AC14" s="35"/>
    </row>
    <row r="15" spans="1:62" ht="14.25" hidden="1" customHeight="1">
      <c r="B15" s="175" t="s">
        <v>92</v>
      </c>
      <c r="C15" s="176"/>
      <c r="D15" s="177"/>
      <c r="E15" s="177"/>
      <c r="F15" s="177"/>
      <c r="G15" s="178"/>
      <c r="H15" s="179"/>
      <c r="I15" s="180"/>
      <c r="J15" s="180"/>
      <c r="K15" s="180"/>
      <c r="L15" s="181"/>
      <c r="M15" s="182"/>
      <c r="N15" s="182"/>
      <c r="O15" s="182"/>
      <c r="P15" s="182"/>
      <c r="Q15" s="182"/>
      <c r="R15" s="184"/>
      <c r="S15" s="35"/>
      <c r="T15" s="35"/>
      <c r="U15" s="35"/>
      <c r="V15" s="35"/>
      <c r="W15" s="35"/>
      <c r="X15" s="35"/>
      <c r="Y15" s="35"/>
      <c r="Z15" s="35"/>
      <c r="AA15" s="35"/>
      <c r="AB15" s="35"/>
      <c r="AC15" s="35"/>
    </row>
    <row r="16" spans="1:62" ht="14.25" hidden="1" customHeight="1">
      <c r="B16" s="175" t="s">
        <v>93</v>
      </c>
      <c r="C16" s="176"/>
      <c r="D16" s="177"/>
      <c r="E16" s="177"/>
      <c r="F16" s="177"/>
      <c r="G16" s="178"/>
      <c r="H16" s="179"/>
      <c r="I16" s="180"/>
      <c r="J16" s="180"/>
      <c r="K16" s="180"/>
      <c r="L16" s="181"/>
      <c r="M16" s="182"/>
      <c r="N16" s="182"/>
      <c r="O16" s="182"/>
      <c r="P16" s="182"/>
      <c r="Q16" s="182"/>
      <c r="R16" s="184"/>
      <c r="S16" s="35"/>
      <c r="T16" s="35"/>
      <c r="U16" s="35"/>
      <c r="V16" s="35"/>
      <c r="W16" s="35"/>
      <c r="X16" s="35"/>
      <c r="Y16" s="35"/>
      <c r="Z16" s="35"/>
      <c r="AA16" s="35"/>
      <c r="AB16" s="35"/>
      <c r="AC16" s="35"/>
    </row>
    <row r="17" spans="1:29" ht="14.25" hidden="1" customHeight="1">
      <c r="B17" s="175" t="s">
        <v>94</v>
      </c>
      <c r="C17" s="176"/>
      <c r="D17" s="177"/>
      <c r="E17" s="177"/>
      <c r="F17" s="177"/>
      <c r="G17" s="178"/>
      <c r="H17" s="179"/>
      <c r="I17" s="180"/>
      <c r="J17" s="180"/>
      <c r="K17" s="180"/>
      <c r="L17" s="181"/>
      <c r="M17" s="182"/>
      <c r="N17" s="182"/>
      <c r="O17" s="182"/>
      <c r="P17" s="182"/>
      <c r="Q17" s="182"/>
      <c r="R17" s="184"/>
      <c r="S17" s="35"/>
      <c r="T17" s="35"/>
      <c r="U17" s="35"/>
      <c r="V17" s="35"/>
      <c r="W17" s="35"/>
      <c r="X17" s="35"/>
      <c r="Y17" s="35"/>
      <c r="Z17" s="35"/>
      <c r="AA17" s="35"/>
      <c r="AB17" s="35"/>
      <c r="AC17" s="35"/>
    </row>
    <row r="18" spans="1:29" ht="14.25" hidden="1" customHeight="1">
      <c r="B18" s="175" t="s">
        <v>95</v>
      </c>
      <c r="C18" s="176"/>
      <c r="D18" s="177"/>
      <c r="E18" s="177"/>
      <c r="F18" s="177"/>
      <c r="G18" s="178"/>
      <c r="H18" s="179"/>
      <c r="I18" s="180"/>
      <c r="J18" s="180"/>
      <c r="K18" s="180"/>
      <c r="L18" s="181"/>
      <c r="M18" s="182"/>
      <c r="N18" s="182"/>
      <c r="O18" s="182"/>
      <c r="P18" s="182"/>
      <c r="Q18" s="182"/>
      <c r="R18" s="184"/>
      <c r="S18" s="35"/>
      <c r="T18" s="35"/>
      <c r="U18" s="35"/>
      <c r="V18" s="35"/>
      <c r="W18" s="35"/>
      <c r="X18" s="35"/>
      <c r="Y18" s="35"/>
      <c r="Z18" s="35"/>
      <c r="AA18" s="35"/>
      <c r="AB18" s="35"/>
      <c r="AC18" s="35"/>
    </row>
    <row r="19" spans="1:29" ht="14.25" hidden="1" customHeight="1">
      <c r="B19" s="175" t="s">
        <v>96</v>
      </c>
      <c r="C19" s="176"/>
      <c r="D19" s="177"/>
      <c r="E19" s="177"/>
      <c r="F19" s="177"/>
      <c r="G19" s="178"/>
      <c r="H19" s="179"/>
      <c r="I19" s="180"/>
      <c r="J19" s="180"/>
      <c r="K19" s="180"/>
      <c r="L19" s="181"/>
      <c r="M19" s="182"/>
      <c r="N19" s="182"/>
      <c r="O19" s="182"/>
      <c r="P19" s="182"/>
      <c r="Q19" s="182"/>
      <c r="R19" s="184"/>
      <c r="S19" s="35"/>
      <c r="T19" s="35"/>
      <c r="U19" s="35"/>
      <c r="V19" s="35"/>
      <c r="W19" s="35"/>
      <c r="X19" s="35"/>
      <c r="Y19" s="35"/>
      <c r="Z19" s="35"/>
      <c r="AA19" s="35"/>
      <c r="AB19" s="35"/>
      <c r="AC19" s="35"/>
    </row>
    <row r="20" spans="1:29" ht="14.25" hidden="1" customHeight="1">
      <c r="B20" s="175" t="s">
        <v>97</v>
      </c>
      <c r="C20" s="176"/>
      <c r="D20" s="177"/>
      <c r="E20" s="177"/>
      <c r="F20" s="177"/>
      <c r="G20" s="178"/>
      <c r="H20" s="179"/>
      <c r="I20" s="180"/>
      <c r="J20" s="180"/>
      <c r="K20" s="180"/>
      <c r="L20" s="181"/>
      <c r="M20" s="182"/>
      <c r="N20" s="182"/>
      <c r="O20" s="182"/>
      <c r="P20" s="182"/>
      <c r="Q20" s="182"/>
      <c r="R20" s="184"/>
      <c r="S20" s="35"/>
      <c r="T20" s="35"/>
      <c r="U20" s="35"/>
      <c r="V20" s="35"/>
      <c r="W20" s="35"/>
      <c r="X20" s="35"/>
      <c r="Y20" s="35"/>
      <c r="Z20" s="35"/>
      <c r="AA20" s="35"/>
      <c r="AB20" s="35"/>
      <c r="AC20" s="35"/>
    </row>
    <row r="21" spans="1:29" ht="14.25" hidden="1" customHeight="1">
      <c r="B21" s="185" t="s">
        <v>98</v>
      </c>
      <c r="C21" s="186"/>
      <c r="D21" s="187"/>
      <c r="E21" s="187"/>
      <c r="F21" s="187"/>
      <c r="G21" s="188"/>
      <c r="H21" s="189"/>
      <c r="I21" s="190"/>
      <c r="J21" s="190"/>
      <c r="K21" s="190"/>
      <c r="L21" s="191"/>
      <c r="M21" s="192"/>
      <c r="N21" s="192"/>
      <c r="O21" s="192"/>
      <c r="P21" s="193"/>
      <c r="Q21" s="193"/>
      <c r="R21" s="184"/>
      <c r="S21" s="35"/>
      <c r="T21" s="35"/>
      <c r="U21" s="35"/>
      <c r="V21" s="35"/>
      <c r="W21" s="35"/>
      <c r="X21" s="35"/>
      <c r="Y21" s="35"/>
      <c r="Z21" s="35"/>
      <c r="AA21" s="35"/>
      <c r="AB21" s="35"/>
      <c r="AC21" s="35"/>
    </row>
    <row r="22" spans="1:29" ht="14.25" customHeight="1">
      <c r="B22" s="35"/>
      <c r="C22" s="35"/>
      <c r="D22" s="35"/>
      <c r="E22" s="35"/>
      <c r="F22" s="35"/>
      <c r="G22" s="35"/>
      <c r="H22" s="35"/>
      <c r="I22" s="35"/>
      <c r="J22" s="35"/>
      <c r="K22" s="35"/>
      <c r="L22" s="35"/>
      <c r="M22" s="35"/>
      <c r="N22" s="35"/>
      <c r="O22" s="35"/>
      <c r="P22" s="194"/>
      <c r="Q22" s="297" t="s">
        <v>99</v>
      </c>
      <c r="R22" s="35"/>
      <c r="S22" s="35"/>
      <c r="T22" s="35"/>
      <c r="U22" s="35"/>
      <c r="V22" s="35"/>
      <c r="W22" s="35"/>
      <c r="X22" s="35"/>
      <c r="Y22" s="35"/>
      <c r="Z22" s="35"/>
      <c r="AA22" s="35"/>
      <c r="AB22" s="35"/>
    </row>
    <row r="23" spans="1:29" ht="14.25" customHeight="1">
      <c r="B23" s="194"/>
      <c r="C23" s="1"/>
      <c r="D23" s="194"/>
      <c r="E23" s="1"/>
      <c r="F23" s="194"/>
      <c r="G23" s="1"/>
      <c r="H23" s="194"/>
      <c r="I23" s="1"/>
      <c r="J23" s="194"/>
      <c r="K23" s="1"/>
      <c r="L23" s="194"/>
      <c r="M23" s="1"/>
      <c r="N23" s="194"/>
      <c r="O23" s="1"/>
      <c r="P23" s="194"/>
      <c r="Q23" s="1"/>
      <c r="R23" s="194"/>
      <c r="S23" s="1"/>
      <c r="T23" s="194"/>
      <c r="U23" s="1"/>
      <c r="V23" s="194"/>
      <c r="W23" s="1"/>
      <c r="X23" s="194"/>
      <c r="Y23" s="1"/>
      <c r="Z23" s="194"/>
      <c r="AA23" s="194"/>
      <c r="AB23" s="194"/>
    </row>
    <row r="24" spans="1:29" s="238" customFormat="1" ht="14.25" customHeight="1">
      <c r="A24" s="235"/>
      <c r="B24" s="236">
        <v>49</v>
      </c>
      <c r="C24" s="236"/>
      <c r="D24" s="236"/>
      <c r="E24" s="236">
        <v>50</v>
      </c>
      <c r="F24" s="236"/>
      <c r="G24" s="236">
        <v>51</v>
      </c>
      <c r="H24" s="236"/>
      <c r="I24" s="236"/>
      <c r="J24" s="236">
        <v>52</v>
      </c>
      <c r="K24" s="236"/>
      <c r="L24" s="236">
        <v>53</v>
      </c>
      <c r="M24" s="236"/>
      <c r="N24" s="236"/>
      <c r="O24" s="236">
        <v>54</v>
      </c>
      <c r="P24" s="236"/>
      <c r="Q24" s="237">
        <v>55</v>
      </c>
      <c r="R24" s="236"/>
      <c r="S24" s="236"/>
      <c r="T24" s="236">
        <v>56</v>
      </c>
      <c r="U24" s="236"/>
      <c r="V24" s="236">
        <v>57</v>
      </c>
      <c r="W24" s="236"/>
      <c r="X24" s="236"/>
      <c r="Y24" s="236">
        <v>123</v>
      </c>
      <c r="Z24" s="236"/>
      <c r="AA24" s="236"/>
      <c r="AB24" s="236"/>
    </row>
    <row r="25" spans="1:29" ht="14.25" customHeight="1">
      <c r="B25" s="195">
        <f>SUM(B27:B249)</f>
        <v>0</v>
      </c>
      <c r="C25" s="195">
        <f t="shared" ref="C25:Y25" si="0">SUM(C27:C249)</f>
        <v>0</v>
      </c>
      <c r="D25" s="195">
        <f t="shared" si="0"/>
        <v>0</v>
      </c>
      <c r="E25" s="195">
        <f t="shared" si="0"/>
        <v>0</v>
      </c>
      <c r="F25" s="194"/>
      <c r="G25" s="196">
        <f t="shared" si="0"/>
        <v>0</v>
      </c>
      <c r="H25" s="195">
        <f t="shared" si="0"/>
        <v>0</v>
      </c>
      <c r="I25" s="196">
        <f t="shared" si="0"/>
        <v>0</v>
      </c>
      <c r="J25" s="196">
        <f t="shared" si="0"/>
        <v>0</v>
      </c>
      <c r="K25" s="194"/>
      <c r="L25" s="196">
        <f t="shared" si="0"/>
        <v>0</v>
      </c>
      <c r="M25" s="195">
        <f t="shared" si="0"/>
        <v>0</v>
      </c>
      <c r="N25" s="196">
        <f t="shared" si="0"/>
        <v>0</v>
      </c>
      <c r="O25" s="196">
        <f t="shared" si="0"/>
        <v>0</v>
      </c>
      <c r="P25" s="194"/>
      <c r="Q25" s="196">
        <f t="shared" si="0"/>
        <v>0</v>
      </c>
      <c r="R25" s="195">
        <f t="shared" si="0"/>
        <v>0</v>
      </c>
      <c r="S25" s="196">
        <f t="shared" si="0"/>
        <v>0</v>
      </c>
      <c r="T25" s="196">
        <f t="shared" si="0"/>
        <v>0</v>
      </c>
      <c r="U25" s="194"/>
      <c r="V25" s="196">
        <f t="shared" si="0"/>
        <v>0</v>
      </c>
      <c r="W25" s="195">
        <f t="shared" si="0"/>
        <v>0</v>
      </c>
      <c r="X25" s="196">
        <f t="shared" si="0"/>
        <v>0</v>
      </c>
      <c r="Y25" s="196">
        <f t="shared" si="0"/>
        <v>0</v>
      </c>
      <c r="Z25" s="194"/>
      <c r="AA25" s="194"/>
      <c r="AB25" s="194"/>
    </row>
    <row r="26" spans="1:29" ht="45.75" customHeight="1">
      <c r="B26" s="166" t="s">
        <v>80</v>
      </c>
      <c r="C26" s="167" t="s">
        <v>100</v>
      </c>
      <c r="D26" s="167" t="s">
        <v>101</v>
      </c>
      <c r="E26" s="167" t="s">
        <v>81</v>
      </c>
      <c r="F26" s="194"/>
      <c r="G26" s="197" t="s">
        <v>82</v>
      </c>
      <c r="H26" s="167" t="s">
        <v>100</v>
      </c>
      <c r="I26" s="167" t="s">
        <v>101</v>
      </c>
      <c r="J26" s="167" t="s">
        <v>81</v>
      </c>
      <c r="K26" s="194"/>
      <c r="L26" s="197" t="s">
        <v>83</v>
      </c>
      <c r="M26" s="167" t="s">
        <v>100</v>
      </c>
      <c r="N26" s="167" t="s">
        <v>101</v>
      </c>
      <c r="O26" s="167" t="s">
        <v>81</v>
      </c>
      <c r="P26" s="194"/>
      <c r="Q26" s="197" t="s">
        <v>84</v>
      </c>
      <c r="R26" s="167" t="s">
        <v>100</v>
      </c>
      <c r="S26" s="167" t="s">
        <v>101</v>
      </c>
      <c r="T26" s="167" t="s">
        <v>81</v>
      </c>
      <c r="U26" s="194"/>
      <c r="V26" s="197" t="s">
        <v>102</v>
      </c>
      <c r="W26" s="167" t="s">
        <v>100</v>
      </c>
      <c r="X26" s="167" t="s">
        <v>101</v>
      </c>
      <c r="Y26" s="167" t="s">
        <v>81</v>
      </c>
      <c r="Z26" s="194"/>
      <c r="AA26" s="194"/>
      <c r="AB26" s="194"/>
    </row>
    <row r="27" spans="1:29" ht="14.25" customHeight="1">
      <c r="B27" s="198"/>
      <c r="C27" s="199"/>
      <c r="D27" s="290">
        <f>IFERROR(VLOOKUP($C27,'Ref tables'!$C$18:$D$31,2,0),0)</f>
        <v>0</v>
      </c>
      <c r="E27" s="173">
        <f>B27*D27</f>
        <v>0</v>
      </c>
      <c r="F27" s="194"/>
      <c r="G27" s="198"/>
      <c r="H27" s="199"/>
      <c r="I27" s="290">
        <f>IFERROR(VLOOKUP($H27,'Ref tables'!$C$18:$D$31,2,0),0)</f>
        <v>0</v>
      </c>
      <c r="J27" s="173">
        <f>G27*I27</f>
        <v>0</v>
      </c>
      <c r="K27" s="194"/>
      <c r="L27" s="198"/>
      <c r="M27" s="199"/>
      <c r="N27" s="290">
        <f>IFERROR(VLOOKUP($M27,'Ref tables'!$C$18:$D$31,2,0),0)</f>
        <v>0</v>
      </c>
      <c r="O27" s="173">
        <f>L27*N27</f>
        <v>0</v>
      </c>
      <c r="P27" s="194"/>
      <c r="Q27" s="198"/>
      <c r="R27" s="199"/>
      <c r="S27" s="290">
        <f>IFERROR(VLOOKUP($R27,'Ref tables'!$C$18:$D$31,2,0),0)</f>
        <v>0</v>
      </c>
      <c r="T27" s="173">
        <f>Q27*S27</f>
        <v>0</v>
      </c>
      <c r="U27" s="194"/>
      <c r="V27" s="198"/>
      <c r="W27" s="199"/>
      <c r="X27" s="290">
        <f>IFERROR(VLOOKUP($W27,'Ref tables'!$C$18:$D$31,2,0),0)</f>
        <v>0</v>
      </c>
      <c r="Y27" s="173">
        <f>V27*X27</f>
        <v>0</v>
      </c>
      <c r="Z27" s="194"/>
      <c r="AA27" s="194"/>
      <c r="AB27" s="194"/>
    </row>
    <row r="28" spans="1:29" ht="14.25" customHeight="1">
      <c r="B28" s="198"/>
      <c r="C28" s="199"/>
      <c r="D28" s="290">
        <f>IFERROR(VLOOKUP($C28,'Ref tables'!$C$18:$D$31,2,0),0)</f>
        <v>0</v>
      </c>
      <c r="E28" s="173">
        <f t="shared" ref="E28:E49" si="1">B28*D28</f>
        <v>0</v>
      </c>
      <c r="F28" s="194"/>
      <c r="G28" s="198"/>
      <c r="H28" s="199"/>
      <c r="I28" s="290">
        <f>IFERROR(VLOOKUP($H28,'Ref tables'!$C$18:$D$31,2,0),0)</f>
        <v>0</v>
      </c>
      <c r="J28" s="173">
        <f t="shared" ref="J28:J49" si="2">G28*I28</f>
        <v>0</v>
      </c>
      <c r="K28" s="194"/>
      <c r="L28" s="198"/>
      <c r="M28" s="199"/>
      <c r="N28" s="290">
        <f>IFERROR(VLOOKUP($M28,'Ref tables'!$C$18:$D$31,2,0),0)</f>
        <v>0</v>
      </c>
      <c r="O28" s="173">
        <f t="shared" ref="O28:O49" si="3">L28*N28</f>
        <v>0</v>
      </c>
      <c r="P28" s="194"/>
      <c r="Q28" s="198"/>
      <c r="R28" s="199"/>
      <c r="S28" s="290">
        <f>IFERROR(VLOOKUP($R28,'Ref tables'!$C$18:$D$31,2,0),0)</f>
        <v>0</v>
      </c>
      <c r="T28" s="173">
        <f t="shared" ref="T28:T49" si="4">Q28*S28</f>
        <v>0</v>
      </c>
      <c r="U28" s="194"/>
      <c r="V28" s="198"/>
      <c r="W28" s="199"/>
      <c r="X28" s="290">
        <f>IFERROR(VLOOKUP($W28,'Ref tables'!$C$18:$D$31,2,0),0)</f>
        <v>0</v>
      </c>
      <c r="Y28" s="173">
        <f t="shared" ref="Y28:Y49" si="5">V28*X28</f>
        <v>0</v>
      </c>
      <c r="Z28" s="194"/>
      <c r="AA28" s="194"/>
      <c r="AB28" s="194"/>
    </row>
    <row r="29" spans="1:29" ht="14.25" customHeight="1">
      <c r="B29" s="198"/>
      <c r="C29" s="199"/>
      <c r="D29" s="290">
        <f>IFERROR(VLOOKUP($C29,'Ref tables'!$C$18:$D$31,2,0),0)</f>
        <v>0</v>
      </c>
      <c r="E29" s="173">
        <f t="shared" si="1"/>
        <v>0</v>
      </c>
      <c r="F29" s="194"/>
      <c r="G29" s="198"/>
      <c r="H29" s="199"/>
      <c r="I29" s="290">
        <f>IFERROR(VLOOKUP($H29,'Ref tables'!$C$18:$D$31,2,0),0)</f>
        <v>0</v>
      </c>
      <c r="J29" s="173">
        <f t="shared" si="2"/>
        <v>0</v>
      </c>
      <c r="K29" s="194"/>
      <c r="L29" s="198"/>
      <c r="M29" s="199"/>
      <c r="N29" s="290">
        <f>IFERROR(VLOOKUP($M29,'Ref tables'!$C$18:$D$31,2,0),0)</f>
        <v>0</v>
      </c>
      <c r="O29" s="173">
        <f t="shared" si="3"/>
        <v>0</v>
      </c>
      <c r="P29" s="194"/>
      <c r="Q29" s="198"/>
      <c r="R29" s="199"/>
      <c r="S29" s="290">
        <f>IFERROR(VLOOKUP($R29,'Ref tables'!$C$18:$D$31,2,0),0)</f>
        <v>0</v>
      </c>
      <c r="T29" s="173">
        <f t="shared" si="4"/>
        <v>0</v>
      </c>
      <c r="U29" s="194"/>
      <c r="V29" s="198"/>
      <c r="W29" s="199"/>
      <c r="X29" s="290">
        <f>IFERROR(VLOOKUP($W29,'Ref tables'!$C$18:$D$31,2,0),0)</f>
        <v>0</v>
      </c>
      <c r="Y29" s="173">
        <f t="shared" si="5"/>
        <v>0</v>
      </c>
      <c r="Z29" s="194"/>
      <c r="AA29" s="194"/>
      <c r="AB29" s="194"/>
    </row>
    <row r="30" spans="1:29" ht="14.25" customHeight="1">
      <c r="B30" s="198"/>
      <c r="C30" s="199"/>
      <c r="D30" s="290">
        <f>IFERROR(VLOOKUP($C30,'Ref tables'!$C$18:$D$31,2,0),0)</f>
        <v>0</v>
      </c>
      <c r="E30" s="173">
        <f t="shared" si="1"/>
        <v>0</v>
      </c>
      <c r="F30" s="194"/>
      <c r="G30" s="198"/>
      <c r="H30" s="199"/>
      <c r="I30" s="290">
        <f>IFERROR(VLOOKUP($H30,'Ref tables'!$C$18:$D$31,2,0),0)</f>
        <v>0</v>
      </c>
      <c r="J30" s="173">
        <f t="shared" si="2"/>
        <v>0</v>
      </c>
      <c r="K30" s="194"/>
      <c r="L30" s="198"/>
      <c r="M30" s="199"/>
      <c r="N30" s="290">
        <f>IFERROR(VLOOKUP($M30,'Ref tables'!$C$18:$D$31,2,0),0)</f>
        <v>0</v>
      </c>
      <c r="O30" s="173">
        <f t="shared" si="3"/>
        <v>0</v>
      </c>
      <c r="P30" s="194"/>
      <c r="Q30" s="198"/>
      <c r="R30" s="199"/>
      <c r="S30" s="290">
        <f>IFERROR(VLOOKUP($R30,'Ref tables'!$C$18:$D$31,2,0),0)</f>
        <v>0</v>
      </c>
      <c r="T30" s="173">
        <f t="shared" si="4"/>
        <v>0</v>
      </c>
      <c r="U30" s="194"/>
      <c r="V30" s="198"/>
      <c r="W30" s="199"/>
      <c r="X30" s="290">
        <f>IFERROR(VLOOKUP($W30,'Ref tables'!$C$18:$D$31,2,0),0)</f>
        <v>0</v>
      </c>
      <c r="Y30" s="173">
        <f t="shared" si="5"/>
        <v>0</v>
      </c>
      <c r="Z30" s="194"/>
      <c r="AA30" s="194"/>
      <c r="AB30" s="194"/>
    </row>
    <row r="31" spans="1:29" ht="14.25" customHeight="1">
      <c r="B31" s="198"/>
      <c r="C31" s="199"/>
      <c r="D31" s="290">
        <f>IFERROR(VLOOKUP($C31,'Ref tables'!$C$18:$D$31,2,0),0)</f>
        <v>0</v>
      </c>
      <c r="E31" s="173">
        <f t="shared" si="1"/>
        <v>0</v>
      </c>
      <c r="F31" s="194"/>
      <c r="G31" s="198"/>
      <c r="H31" s="199"/>
      <c r="I31" s="290">
        <f>IFERROR(VLOOKUP($H31,'Ref tables'!$C$18:$D$31,2,0),0)</f>
        <v>0</v>
      </c>
      <c r="J31" s="173">
        <f t="shared" si="2"/>
        <v>0</v>
      </c>
      <c r="K31" s="194"/>
      <c r="L31" s="198"/>
      <c r="M31" s="199"/>
      <c r="N31" s="290">
        <f>IFERROR(VLOOKUP($M31,'Ref tables'!$C$18:$D$31,2,0),0)</f>
        <v>0</v>
      </c>
      <c r="O31" s="173">
        <f t="shared" si="3"/>
        <v>0</v>
      </c>
      <c r="P31" s="194"/>
      <c r="Q31" s="198"/>
      <c r="R31" s="199"/>
      <c r="S31" s="290">
        <f>IFERROR(VLOOKUP($R31,'Ref tables'!$C$18:$D$31,2,0),0)</f>
        <v>0</v>
      </c>
      <c r="T31" s="173">
        <f t="shared" si="4"/>
        <v>0</v>
      </c>
      <c r="U31" s="194"/>
      <c r="V31" s="198"/>
      <c r="W31" s="199"/>
      <c r="X31" s="290">
        <f>IFERROR(VLOOKUP($W31,'Ref tables'!$C$18:$D$31,2,0),0)</f>
        <v>0</v>
      </c>
      <c r="Y31" s="173">
        <f t="shared" si="5"/>
        <v>0</v>
      </c>
      <c r="Z31" s="194"/>
      <c r="AA31" s="194"/>
      <c r="AB31" s="194"/>
    </row>
    <row r="32" spans="1:29" ht="14.25" customHeight="1">
      <c r="B32" s="198"/>
      <c r="C32" s="199"/>
      <c r="D32" s="290">
        <f>IFERROR(VLOOKUP($C32,'Ref tables'!$C$18:$D$31,2,0),0)</f>
        <v>0</v>
      </c>
      <c r="E32" s="173">
        <f t="shared" si="1"/>
        <v>0</v>
      </c>
      <c r="F32" s="194"/>
      <c r="G32" s="198"/>
      <c r="H32" s="199"/>
      <c r="I32" s="290">
        <f>IFERROR(VLOOKUP($H32,'Ref tables'!$C$18:$D$31,2,0),0)</f>
        <v>0</v>
      </c>
      <c r="J32" s="173">
        <f t="shared" si="2"/>
        <v>0</v>
      </c>
      <c r="K32" s="194"/>
      <c r="L32" s="198"/>
      <c r="M32" s="199"/>
      <c r="N32" s="290">
        <f>IFERROR(VLOOKUP($M32,'Ref tables'!$C$18:$D$31,2,0),0)</f>
        <v>0</v>
      </c>
      <c r="O32" s="173">
        <f t="shared" si="3"/>
        <v>0</v>
      </c>
      <c r="P32" s="194"/>
      <c r="Q32" s="198"/>
      <c r="R32" s="199"/>
      <c r="S32" s="290">
        <f>IFERROR(VLOOKUP($R32,'Ref tables'!$C$18:$D$31,2,0),0)</f>
        <v>0</v>
      </c>
      <c r="T32" s="173">
        <f t="shared" si="4"/>
        <v>0</v>
      </c>
      <c r="U32" s="194"/>
      <c r="V32" s="198"/>
      <c r="W32" s="199"/>
      <c r="X32" s="290">
        <f>IFERROR(VLOOKUP($W32,'Ref tables'!$C$18:$D$31,2,0),0)</f>
        <v>0</v>
      </c>
      <c r="Y32" s="173">
        <f t="shared" si="5"/>
        <v>0</v>
      </c>
      <c r="Z32" s="194"/>
      <c r="AA32" s="194"/>
      <c r="AB32" s="194"/>
    </row>
    <row r="33" spans="2:28" ht="14.25" customHeight="1">
      <c r="B33" s="198"/>
      <c r="C33" s="199"/>
      <c r="D33" s="290">
        <f>IFERROR(VLOOKUP($C33,'Ref tables'!$C$18:$D$31,2,0),0)</f>
        <v>0</v>
      </c>
      <c r="E33" s="173">
        <f t="shared" si="1"/>
        <v>0</v>
      </c>
      <c r="F33" s="194"/>
      <c r="G33" s="198"/>
      <c r="H33" s="199"/>
      <c r="I33" s="290">
        <f>IFERROR(VLOOKUP($H33,'Ref tables'!$C$18:$D$31,2,0),0)</f>
        <v>0</v>
      </c>
      <c r="J33" s="173">
        <f t="shared" si="2"/>
        <v>0</v>
      </c>
      <c r="K33" s="194"/>
      <c r="L33" s="198"/>
      <c r="M33" s="199"/>
      <c r="N33" s="290">
        <f>IFERROR(VLOOKUP($M33,'Ref tables'!$C$18:$D$31,2,0),0)</f>
        <v>0</v>
      </c>
      <c r="O33" s="173">
        <f t="shared" si="3"/>
        <v>0</v>
      </c>
      <c r="P33" s="194"/>
      <c r="Q33" s="198"/>
      <c r="R33" s="199"/>
      <c r="S33" s="290">
        <f>IFERROR(VLOOKUP($R33,'Ref tables'!$C$18:$D$31,2,0),0)</f>
        <v>0</v>
      </c>
      <c r="T33" s="173">
        <f t="shared" si="4"/>
        <v>0</v>
      </c>
      <c r="U33" s="194"/>
      <c r="V33" s="198"/>
      <c r="W33" s="199"/>
      <c r="X33" s="290">
        <f>IFERROR(VLOOKUP($W33,'Ref tables'!$C$18:$D$31,2,0),0)</f>
        <v>0</v>
      </c>
      <c r="Y33" s="173">
        <f t="shared" si="5"/>
        <v>0</v>
      </c>
      <c r="Z33" s="194"/>
      <c r="AA33" s="194"/>
      <c r="AB33" s="194"/>
    </row>
    <row r="34" spans="2:28" ht="14.25" customHeight="1">
      <c r="B34" s="198"/>
      <c r="C34" s="199"/>
      <c r="D34" s="290">
        <f>IFERROR(VLOOKUP($C34,'Ref tables'!$C$18:$D$31,2,0),0)</f>
        <v>0</v>
      </c>
      <c r="E34" s="173">
        <f t="shared" si="1"/>
        <v>0</v>
      </c>
      <c r="F34" s="194"/>
      <c r="G34" s="198"/>
      <c r="H34" s="199"/>
      <c r="I34" s="290">
        <f>IFERROR(VLOOKUP($H34,'Ref tables'!$C$18:$D$31,2,0),0)</f>
        <v>0</v>
      </c>
      <c r="J34" s="173">
        <f t="shared" si="2"/>
        <v>0</v>
      </c>
      <c r="K34" s="194"/>
      <c r="L34" s="198"/>
      <c r="M34" s="199"/>
      <c r="N34" s="290">
        <f>IFERROR(VLOOKUP($M34,'Ref tables'!$C$18:$D$31,2,0),0)</f>
        <v>0</v>
      </c>
      <c r="O34" s="173">
        <f t="shared" si="3"/>
        <v>0</v>
      </c>
      <c r="P34" s="194"/>
      <c r="Q34" s="198"/>
      <c r="R34" s="199"/>
      <c r="S34" s="290">
        <f>IFERROR(VLOOKUP($R34,'Ref tables'!$C$18:$D$31,2,0),0)</f>
        <v>0</v>
      </c>
      <c r="T34" s="173">
        <f t="shared" si="4"/>
        <v>0</v>
      </c>
      <c r="U34" s="194"/>
      <c r="V34" s="198"/>
      <c r="W34" s="199"/>
      <c r="X34" s="290">
        <f>IFERROR(VLOOKUP($W34,'Ref tables'!$C$18:$D$31,2,0),0)</f>
        <v>0</v>
      </c>
      <c r="Y34" s="173">
        <f t="shared" si="5"/>
        <v>0</v>
      </c>
      <c r="Z34" s="194"/>
      <c r="AA34" s="194"/>
      <c r="AB34" s="194"/>
    </row>
    <row r="35" spans="2:28" ht="14.25" customHeight="1">
      <c r="B35" s="198"/>
      <c r="C35" s="199"/>
      <c r="D35" s="290">
        <f>IFERROR(VLOOKUP($C35,'Ref tables'!$C$18:$D$31,2,0),0)</f>
        <v>0</v>
      </c>
      <c r="E35" s="173">
        <f t="shared" si="1"/>
        <v>0</v>
      </c>
      <c r="F35" s="194"/>
      <c r="G35" s="198"/>
      <c r="H35" s="199"/>
      <c r="I35" s="290">
        <f>IFERROR(VLOOKUP($H35,'Ref tables'!$C$18:$D$31,2,0),0)</f>
        <v>0</v>
      </c>
      <c r="J35" s="173">
        <f t="shared" si="2"/>
        <v>0</v>
      </c>
      <c r="K35" s="194"/>
      <c r="L35" s="198"/>
      <c r="M35" s="199"/>
      <c r="N35" s="290">
        <f>IFERROR(VLOOKUP($M35,'Ref tables'!$C$18:$D$31,2,0),0)</f>
        <v>0</v>
      </c>
      <c r="O35" s="173">
        <f t="shared" si="3"/>
        <v>0</v>
      </c>
      <c r="P35" s="194"/>
      <c r="Q35" s="198"/>
      <c r="R35" s="199"/>
      <c r="S35" s="290">
        <f>IFERROR(VLOOKUP($R35,'Ref tables'!$C$18:$D$31,2,0),0)</f>
        <v>0</v>
      </c>
      <c r="T35" s="173">
        <f t="shared" si="4"/>
        <v>0</v>
      </c>
      <c r="U35" s="194"/>
      <c r="V35" s="198"/>
      <c r="W35" s="199"/>
      <c r="X35" s="290">
        <f>IFERROR(VLOOKUP($W35,'Ref tables'!$C$18:$D$31,2,0),0)</f>
        <v>0</v>
      </c>
      <c r="Y35" s="173">
        <f t="shared" si="5"/>
        <v>0</v>
      </c>
      <c r="Z35" s="194"/>
      <c r="AA35" s="194"/>
      <c r="AB35" s="194"/>
    </row>
    <row r="36" spans="2:28" ht="14.25" customHeight="1">
      <c r="B36" s="198"/>
      <c r="C36" s="199"/>
      <c r="D36" s="290">
        <f>IFERROR(VLOOKUP($C36,'Ref tables'!$C$18:$D$31,2,0),0)</f>
        <v>0</v>
      </c>
      <c r="E36" s="173">
        <f t="shared" si="1"/>
        <v>0</v>
      </c>
      <c r="F36" s="194"/>
      <c r="G36" s="198"/>
      <c r="H36" s="199"/>
      <c r="I36" s="290">
        <f>IFERROR(VLOOKUP($H36,'Ref tables'!$C$18:$D$31,2,0),0)</f>
        <v>0</v>
      </c>
      <c r="J36" s="173">
        <f t="shared" si="2"/>
        <v>0</v>
      </c>
      <c r="K36" s="194"/>
      <c r="L36" s="198"/>
      <c r="M36" s="199"/>
      <c r="N36" s="290">
        <f>IFERROR(VLOOKUP($M36,'Ref tables'!$C$18:$D$31,2,0),0)</f>
        <v>0</v>
      </c>
      <c r="O36" s="173">
        <f t="shared" si="3"/>
        <v>0</v>
      </c>
      <c r="P36" s="194"/>
      <c r="Q36" s="198"/>
      <c r="R36" s="199"/>
      <c r="S36" s="290">
        <f>IFERROR(VLOOKUP($R36,'Ref tables'!$C$18:$D$31,2,0),0)</f>
        <v>0</v>
      </c>
      <c r="T36" s="173">
        <f t="shared" si="4"/>
        <v>0</v>
      </c>
      <c r="U36" s="194"/>
      <c r="V36" s="198"/>
      <c r="W36" s="199"/>
      <c r="X36" s="290">
        <f>IFERROR(VLOOKUP($W36,'Ref tables'!$C$18:$D$31,2,0),0)</f>
        <v>0</v>
      </c>
      <c r="Y36" s="173">
        <f t="shared" si="5"/>
        <v>0</v>
      </c>
      <c r="Z36" s="194"/>
      <c r="AA36" s="194"/>
      <c r="AB36" s="194"/>
    </row>
    <row r="37" spans="2:28" ht="14.25" customHeight="1">
      <c r="B37" s="198"/>
      <c r="C37" s="199"/>
      <c r="D37" s="290">
        <f>IFERROR(VLOOKUP($C37,'Ref tables'!$C$18:$D$31,2,0),0)</f>
        <v>0</v>
      </c>
      <c r="E37" s="173">
        <f t="shared" si="1"/>
        <v>0</v>
      </c>
      <c r="F37" s="194"/>
      <c r="G37" s="198"/>
      <c r="H37" s="199"/>
      <c r="I37" s="290">
        <f>IFERROR(VLOOKUP($H37,'Ref tables'!$C$18:$D$31,2,0),0)</f>
        <v>0</v>
      </c>
      <c r="J37" s="173">
        <f t="shared" si="2"/>
        <v>0</v>
      </c>
      <c r="K37" s="194"/>
      <c r="L37" s="198"/>
      <c r="M37" s="199"/>
      <c r="N37" s="290">
        <f>IFERROR(VLOOKUP($M37,'Ref tables'!$C$18:$D$31,2,0),0)</f>
        <v>0</v>
      </c>
      <c r="O37" s="173">
        <f t="shared" si="3"/>
        <v>0</v>
      </c>
      <c r="P37" s="194"/>
      <c r="Q37" s="198"/>
      <c r="R37" s="199"/>
      <c r="S37" s="290">
        <f>IFERROR(VLOOKUP($R37,'Ref tables'!$C$18:$D$31,2,0),0)</f>
        <v>0</v>
      </c>
      <c r="T37" s="173">
        <f t="shared" si="4"/>
        <v>0</v>
      </c>
      <c r="U37" s="194"/>
      <c r="V37" s="198"/>
      <c r="W37" s="199"/>
      <c r="X37" s="290">
        <f>IFERROR(VLOOKUP($W37,'Ref tables'!$C$18:$D$31,2,0),0)</f>
        <v>0</v>
      </c>
      <c r="Y37" s="173">
        <f t="shared" si="5"/>
        <v>0</v>
      </c>
      <c r="Z37" s="194"/>
      <c r="AA37" s="194"/>
      <c r="AB37" s="194"/>
    </row>
    <row r="38" spans="2:28" ht="14.25" customHeight="1">
      <c r="B38" s="198"/>
      <c r="C38" s="199"/>
      <c r="D38" s="290">
        <f>IFERROR(VLOOKUP($C38,'Ref tables'!$C$18:$D$31,2,0),0)</f>
        <v>0</v>
      </c>
      <c r="E38" s="173">
        <f t="shared" si="1"/>
        <v>0</v>
      </c>
      <c r="F38" s="194"/>
      <c r="G38" s="198"/>
      <c r="H38" s="199"/>
      <c r="I38" s="290">
        <f>IFERROR(VLOOKUP($H38,'Ref tables'!$C$18:$D$31,2,0),0)</f>
        <v>0</v>
      </c>
      <c r="J38" s="173">
        <f t="shared" si="2"/>
        <v>0</v>
      </c>
      <c r="K38" s="194"/>
      <c r="L38" s="198"/>
      <c r="M38" s="199"/>
      <c r="N38" s="290">
        <f>IFERROR(VLOOKUP($M38,'Ref tables'!$C$18:$D$31,2,0),0)</f>
        <v>0</v>
      </c>
      <c r="O38" s="173">
        <f t="shared" si="3"/>
        <v>0</v>
      </c>
      <c r="P38" s="194"/>
      <c r="Q38" s="198"/>
      <c r="R38" s="199"/>
      <c r="S38" s="290">
        <f>IFERROR(VLOOKUP($R38,'Ref tables'!$C$18:$D$31,2,0),0)</f>
        <v>0</v>
      </c>
      <c r="T38" s="173">
        <f t="shared" si="4"/>
        <v>0</v>
      </c>
      <c r="U38" s="194"/>
      <c r="V38" s="198"/>
      <c r="W38" s="199"/>
      <c r="X38" s="290">
        <f>IFERROR(VLOOKUP($W38,'Ref tables'!$C$18:$D$31,2,0),0)</f>
        <v>0</v>
      </c>
      <c r="Y38" s="173">
        <f t="shared" si="5"/>
        <v>0</v>
      </c>
      <c r="Z38" s="194"/>
      <c r="AA38" s="194"/>
      <c r="AB38" s="194"/>
    </row>
    <row r="39" spans="2:28" ht="14.25" customHeight="1">
      <c r="B39" s="198"/>
      <c r="C39" s="199"/>
      <c r="D39" s="290">
        <f>IFERROR(VLOOKUP($C39,'Ref tables'!$C$18:$D$31,2,0),0)</f>
        <v>0</v>
      </c>
      <c r="E39" s="173">
        <f t="shared" si="1"/>
        <v>0</v>
      </c>
      <c r="F39" s="194"/>
      <c r="G39" s="198"/>
      <c r="H39" s="199"/>
      <c r="I39" s="290">
        <f>IFERROR(VLOOKUP($H39,'Ref tables'!$C$18:$D$31,2,0),0)</f>
        <v>0</v>
      </c>
      <c r="J39" s="173">
        <f t="shared" si="2"/>
        <v>0</v>
      </c>
      <c r="K39" s="194"/>
      <c r="L39" s="198"/>
      <c r="M39" s="199"/>
      <c r="N39" s="290">
        <f>IFERROR(VLOOKUP($M39,'Ref tables'!$C$18:$D$31,2,0),0)</f>
        <v>0</v>
      </c>
      <c r="O39" s="173">
        <f t="shared" si="3"/>
        <v>0</v>
      </c>
      <c r="P39" s="194"/>
      <c r="Q39" s="198"/>
      <c r="R39" s="199"/>
      <c r="S39" s="290">
        <f>IFERROR(VLOOKUP($R39,'Ref tables'!$C$18:$D$31,2,0),0)</f>
        <v>0</v>
      </c>
      <c r="T39" s="173">
        <f t="shared" si="4"/>
        <v>0</v>
      </c>
      <c r="U39" s="194"/>
      <c r="V39" s="198"/>
      <c r="W39" s="199"/>
      <c r="X39" s="290">
        <f>IFERROR(VLOOKUP($W39,'Ref tables'!$C$18:$D$31,2,0),0)</f>
        <v>0</v>
      </c>
      <c r="Y39" s="173">
        <f t="shared" si="5"/>
        <v>0</v>
      </c>
      <c r="Z39" s="194"/>
      <c r="AA39" s="194"/>
      <c r="AB39" s="194"/>
    </row>
    <row r="40" spans="2:28" ht="14.25" customHeight="1">
      <c r="B40" s="198"/>
      <c r="C40" s="199"/>
      <c r="D40" s="290">
        <f>IFERROR(VLOOKUP($C40,'Ref tables'!$C$18:$D$31,2,0),0)</f>
        <v>0</v>
      </c>
      <c r="E40" s="173">
        <f t="shared" si="1"/>
        <v>0</v>
      </c>
      <c r="F40" s="194"/>
      <c r="G40" s="198"/>
      <c r="H40" s="199"/>
      <c r="I40" s="290">
        <f>IFERROR(VLOOKUP($H40,'Ref tables'!$C$18:$D$31,2,0),0)</f>
        <v>0</v>
      </c>
      <c r="J40" s="173">
        <f t="shared" si="2"/>
        <v>0</v>
      </c>
      <c r="K40" s="194"/>
      <c r="L40" s="198"/>
      <c r="M40" s="199"/>
      <c r="N40" s="290">
        <f>IFERROR(VLOOKUP($M40,'Ref tables'!$C$18:$D$31,2,0),0)</f>
        <v>0</v>
      </c>
      <c r="O40" s="173">
        <f t="shared" si="3"/>
        <v>0</v>
      </c>
      <c r="P40" s="194"/>
      <c r="Q40" s="198"/>
      <c r="R40" s="199"/>
      <c r="S40" s="290">
        <f>IFERROR(VLOOKUP($R40,'Ref tables'!$C$18:$D$31,2,0),0)</f>
        <v>0</v>
      </c>
      <c r="T40" s="173">
        <f t="shared" si="4"/>
        <v>0</v>
      </c>
      <c r="U40" s="194"/>
      <c r="V40" s="198"/>
      <c r="W40" s="199"/>
      <c r="X40" s="290">
        <f>IFERROR(VLOOKUP($W40,'Ref tables'!$C$18:$D$31,2,0),0)</f>
        <v>0</v>
      </c>
      <c r="Y40" s="173">
        <f t="shared" si="5"/>
        <v>0</v>
      </c>
      <c r="Z40" s="194"/>
      <c r="AA40" s="194"/>
      <c r="AB40" s="194"/>
    </row>
    <row r="41" spans="2:28" ht="14.25" customHeight="1">
      <c r="B41" s="198"/>
      <c r="C41" s="199"/>
      <c r="D41" s="290">
        <f>IFERROR(VLOOKUP($C41,'Ref tables'!$C$18:$D$31,2,0),0)</f>
        <v>0</v>
      </c>
      <c r="E41" s="173">
        <f t="shared" si="1"/>
        <v>0</v>
      </c>
      <c r="F41" s="194"/>
      <c r="G41" s="198"/>
      <c r="H41" s="199"/>
      <c r="I41" s="290">
        <f>IFERROR(VLOOKUP($H41,'Ref tables'!$C$18:$D$31,2,0),0)</f>
        <v>0</v>
      </c>
      <c r="J41" s="173">
        <f t="shared" si="2"/>
        <v>0</v>
      </c>
      <c r="K41" s="194"/>
      <c r="L41" s="198"/>
      <c r="M41" s="199"/>
      <c r="N41" s="290">
        <f>IFERROR(VLOOKUP($M41,'Ref tables'!$C$18:$D$31,2,0),0)</f>
        <v>0</v>
      </c>
      <c r="O41" s="173">
        <f t="shared" si="3"/>
        <v>0</v>
      </c>
      <c r="P41" s="194"/>
      <c r="Q41" s="198"/>
      <c r="R41" s="199"/>
      <c r="S41" s="290">
        <f>IFERROR(VLOOKUP($R41,'Ref tables'!$C$18:$D$31,2,0),0)</f>
        <v>0</v>
      </c>
      <c r="T41" s="173">
        <f t="shared" si="4"/>
        <v>0</v>
      </c>
      <c r="U41" s="194"/>
      <c r="V41" s="198"/>
      <c r="W41" s="199"/>
      <c r="X41" s="290">
        <f>IFERROR(VLOOKUP($W41,'Ref tables'!$C$18:$D$31,2,0),0)</f>
        <v>0</v>
      </c>
      <c r="Y41" s="173">
        <f t="shared" si="5"/>
        <v>0</v>
      </c>
      <c r="Z41" s="194"/>
      <c r="AA41" s="194"/>
      <c r="AB41" s="194"/>
    </row>
    <row r="42" spans="2:28" ht="14.25" customHeight="1">
      <c r="B42" s="198"/>
      <c r="C42" s="199"/>
      <c r="D42" s="290">
        <f>IFERROR(VLOOKUP($C42,'Ref tables'!$C$18:$D$31,2,0),0)</f>
        <v>0</v>
      </c>
      <c r="E42" s="173">
        <f t="shared" si="1"/>
        <v>0</v>
      </c>
      <c r="F42" s="194"/>
      <c r="G42" s="198"/>
      <c r="H42" s="199"/>
      <c r="I42" s="290">
        <f>IFERROR(VLOOKUP($H42,'Ref tables'!$C$18:$D$31,2,0),0)</f>
        <v>0</v>
      </c>
      <c r="J42" s="173">
        <f t="shared" si="2"/>
        <v>0</v>
      </c>
      <c r="K42" s="194"/>
      <c r="L42" s="198"/>
      <c r="M42" s="199"/>
      <c r="N42" s="290">
        <f>IFERROR(VLOOKUP($M42,'Ref tables'!$C$18:$D$31,2,0),0)</f>
        <v>0</v>
      </c>
      <c r="O42" s="173">
        <f t="shared" si="3"/>
        <v>0</v>
      </c>
      <c r="P42" s="194"/>
      <c r="Q42" s="198"/>
      <c r="R42" s="199"/>
      <c r="S42" s="290">
        <f>IFERROR(VLOOKUP($R42,'Ref tables'!$C$18:$D$31,2,0),0)</f>
        <v>0</v>
      </c>
      <c r="T42" s="173">
        <f t="shared" si="4"/>
        <v>0</v>
      </c>
      <c r="U42" s="194"/>
      <c r="V42" s="198"/>
      <c r="W42" s="199"/>
      <c r="X42" s="290">
        <f>IFERROR(VLOOKUP($W42,'Ref tables'!$C$18:$D$31,2,0),0)</f>
        <v>0</v>
      </c>
      <c r="Y42" s="173">
        <f t="shared" si="5"/>
        <v>0</v>
      </c>
      <c r="Z42" s="194"/>
      <c r="AA42" s="194"/>
      <c r="AB42" s="194"/>
    </row>
    <row r="43" spans="2:28" ht="14.25" customHeight="1">
      <c r="B43" s="198"/>
      <c r="C43" s="199"/>
      <c r="D43" s="290">
        <f>IFERROR(VLOOKUP($C43,'Ref tables'!$C$18:$D$31,2,0),0)</f>
        <v>0</v>
      </c>
      <c r="E43" s="173">
        <f t="shared" si="1"/>
        <v>0</v>
      </c>
      <c r="F43" s="194"/>
      <c r="G43" s="198"/>
      <c r="H43" s="199"/>
      <c r="I43" s="290">
        <f>IFERROR(VLOOKUP($H43,'Ref tables'!$C$18:$D$31,2,0),0)</f>
        <v>0</v>
      </c>
      <c r="J43" s="173">
        <f t="shared" si="2"/>
        <v>0</v>
      </c>
      <c r="K43" s="194"/>
      <c r="L43" s="198"/>
      <c r="M43" s="199"/>
      <c r="N43" s="290">
        <f>IFERROR(VLOOKUP($M43,'Ref tables'!$C$18:$D$31,2,0),0)</f>
        <v>0</v>
      </c>
      <c r="O43" s="173">
        <f t="shared" si="3"/>
        <v>0</v>
      </c>
      <c r="P43" s="194"/>
      <c r="Q43" s="198"/>
      <c r="R43" s="199"/>
      <c r="S43" s="290">
        <f>IFERROR(VLOOKUP($R43,'Ref tables'!$C$18:$D$31,2,0),0)</f>
        <v>0</v>
      </c>
      <c r="T43" s="173">
        <f t="shared" si="4"/>
        <v>0</v>
      </c>
      <c r="U43" s="194"/>
      <c r="V43" s="198"/>
      <c r="W43" s="199"/>
      <c r="X43" s="290">
        <f>IFERROR(VLOOKUP($W43,'Ref tables'!$C$18:$D$31,2,0),0)</f>
        <v>0</v>
      </c>
      <c r="Y43" s="173">
        <f t="shared" si="5"/>
        <v>0</v>
      </c>
      <c r="Z43" s="194"/>
      <c r="AA43" s="194"/>
      <c r="AB43" s="194"/>
    </row>
    <row r="44" spans="2:28" ht="14.25" customHeight="1">
      <c r="B44" s="198"/>
      <c r="C44" s="199"/>
      <c r="D44" s="290">
        <f>IFERROR(VLOOKUP($C44,'Ref tables'!$C$18:$D$31,2,0),0)</f>
        <v>0</v>
      </c>
      <c r="E44" s="173">
        <f t="shared" si="1"/>
        <v>0</v>
      </c>
      <c r="F44" s="194"/>
      <c r="G44" s="198"/>
      <c r="H44" s="199"/>
      <c r="I44" s="290">
        <f>IFERROR(VLOOKUP($H44,'Ref tables'!$C$18:$D$31,2,0),0)</f>
        <v>0</v>
      </c>
      <c r="J44" s="173">
        <f t="shared" si="2"/>
        <v>0</v>
      </c>
      <c r="K44" s="194"/>
      <c r="L44" s="198"/>
      <c r="M44" s="199"/>
      <c r="N44" s="290">
        <f>IFERROR(VLOOKUP($M44,'Ref tables'!$C$18:$D$31,2,0),0)</f>
        <v>0</v>
      </c>
      <c r="O44" s="173">
        <f t="shared" si="3"/>
        <v>0</v>
      </c>
      <c r="P44" s="194"/>
      <c r="Q44" s="198"/>
      <c r="R44" s="199"/>
      <c r="S44" s="290">
        <f>IFERROR(VLOOKUP($R44,'Ref tables'!$C$18:$D$31,2,0),0)</f>
        <v>0</v>
      </c>
      <c r="T44" s="173">
        <f t="shared" si="4"/>
        <v>0</v>
      </c>
      <c r="U44" s="194"/>
      <c r="V44" s="198"/>
      <c r="W44" s="199"/>
      <c r="X44" s="290">
        <f>IFERROR(VLOOKUP($W44,'Ref tables'!$C$18:$D$31,2,0),0)</f>
        <v>0</v>
      </c>
      <c r="Y44" s="173">
        <f t="shared" si="5"/>
        <v>0</v>
      </c>
      <c r="Z44" s="194"/>
      <c r="AA44" s="194"/>
      <c r="AB44" s="194"/>
    </row>
    <row r="45" spans="2:28" ht="14.25" customHeight="1">
      <c r="B45" s="198"/>
      <c r="C45" s="199"/>
      <c r="D45" s="290">
        <f>IFERROR(VLOOKUP($C45,'Ref tables'!$C$18:$D$31,2,0),0)</f>
        <v>0</v>
      </c>
      <c r="E45" s="173">
        <f t="shared" si="1"/>
        <v>0</v>
      </c>
      <c r="F45" s="194"/>
      <c r="G45" s="198"/>
      <c r="H45" s="199"/>
      <c r="I45" s="290">
        <f>IFERROR(VLOOKUP($H45,'Ref tables'!$C$18:$D$31,2,0),0)</f>
        <v>0</v>
      </c>
      <c r="J45" s="173">
        <f t="shared" si="2"/>
        <v>0</v>
      </c>
      <c r="K45" s="194"/>
      <c r="L45" s="198"/>
      <c r="M45" s="199"/>
      <c r="N45" s="290">
        <f>IFERROR(VLOOKUP($M45,'Ref tables'!$C$18:$D$31,2,0),0)</f>
        <v>0</v>
      </c>
      <c r="O45" s="173">
        <f t="shared" si="3"/>
        <v>0</v>
      </c>
      <c r="P45" s="194"/>
      <c r="Q45" s="198"/>
      <c r="R45" s="199"/>
      <c r="S45" s="290">
        <f>IFERROR(VLOOKUP($R45,'Ref tables'!$C$18:$D$31,2,0),0)</f>
        <v>0</v>
      </c>
      <c r="T45" s="173">
        <f t="shared" si="4"/>
        <v>0</v>
      </c>
      <c r="U45" s="194"/>
      <c r="V45" s="198"/>
      <c r="W45" s="199"/>
      <c r="X45" s="290">
        <f>IFERROR(VLOOKUP($W45,'Ref tables'!$C$18:$D$31,2,0),0)</f>
        <v>0</v>
      </c>
      <c r="Y45" s="173">
        <f t="shared" si="5"/>
        <v>0</v>
      </c>
      <c r="Z45" s="194"/>
      <c r="AA45" s="194"/>
      <c r="AB45" s="194"/>
    </row>
    <row r="46" spans="2:28" ht="14.25" customHeight="1">
      <c r="B46" s="198"/>
      <c r="C46" s="199"/>
      <c r="D46" s="290">
        <f>IFERROR(VLOOKUP($C46,'Ref tables'!$C$18:$D$31,2,0),0)</f>
        <v>0</v>
      </c>
      <c r="E46" s="173">
        <f t="shared" si="1"/>
        <v>0</v>
      </c>
      <c r="F46" s="194"/>
      <c r="G46" s="198"/>
      <c r="H46" s="199"/>
      <c r="I46" s="290">
        <f>IFERROR(VLOOKUP($H46,'Ref tables'!$C$18:$D$31,2,0),0)</f>
        <v>0</v>
      </c>
      <c r="J46" s="173">
        <f t="shared" si="2"/>
        <v>0</v>
      </c>
      <c r="K46" s="194"/>
      <c r="L46" s="198"/>
      <c r="M46" s="199"/>
      <c r="N46" s="290">
        <f>IFERROR(VLOOKUP($M46,'Ref tables'!$C$18:$D$31,2,0),0)</f>
        <v>0</v>
      </c>
      <c r="O46" s="173">
        <f t="shared" si="3"/>
        <v>0</v>
      </c>
      <c r="P46" s="194"/>
      <c r="Q46" s="198"/>
      <c r="R46" s="199"/>
      <c r="S46" s="290">
        <f>IFERROR(VLOOKUP($R46,'Ref tables'!$C$18:$D$31,2,0),0)</f>
        <v>0</v>
      </c>
      <c r="T46" s="173">
        <f t="shared" si="4"/>
        <v>0</v>
      </c>
      <c r="U46" s="194"/>
      <c r="V46" s="198"/>
      <c r="W46" s="199"/>
      <c r="X46" s="290">
        <f>IFERROR(VLOOKUP($W46,'Ref tables'!$C$18:$D$31,2,0),0)</f>
        <v>0</v>
      </c>
      <c r="Y46" s="173">
        <f t="shared" si="5"/>
        <v>0</v>
      </c>
      <c r="Z46" s="194"/>
      <c r="AA46" s="194"/>
      <c r="AB46" s="194"/>
    </row>
    <row r="47" spans="2:28" ht="14.25" customHeight="1">
      <c r="B47" s="198"/>
      <c r="C47" s="199"/>
      <c r="D47" s="290">
        <f>IFERROR(VLOOKUP($C47,'Ref tables'!$C$18:$D$31,2,0),0)</f>
        <v>0</v>
      </c>
      <c r="E47" s="173">
        <f t="shared" si="1"/>
        <v>0</v>
      </c>
      <c r="F47" s="194"/>
      <c r="G47" s="198"/>
      <c r="H47" s="199"/>
      <c r="I47" s="290">
        <f>IFERROR(VLOOKUP($H47,'Ref tables'!$C$18:$D$31,2,0),0)</f>
        <v>0</v>
      </c>
      <c r="J47" s="173">
        <f t="shared" si="2"/>
        <v>0</v>
      </c>
      <c r="K47" s="194"/>
      <c r="L47" s="198"/>
      <c r="M47" s="199"/>
      <c r="N47" s="290">
        <f>IFERROR(VLOOKUP($M47,'Ref tables'!$C$18:$D$31,2,0),0)</f>
        <v>0</v>
      </c>
      <c r="O47" s="173">
        <f t="shared" si="3"/>
        <v>0</v>
      </c>
      <c r="P47" s="194"/>
      <c r="Q47" s="198"/>
      <c r="R47" s="199"/>
      <c r="S47" s="290">
        <f>IFERROR(VLOOKUP($R47,'Ref tables'!$C$18:$D$31,2,0),0)</f>
        <v>0</v>
      </c>
      <c r="T47" s="173">
        <f t="shared" si="4"/>
        <v>0</v>
      </c>
      <c r="U47" s="194"/>
      <c r="V47" s="198"/>
      <c r="W47" s="199"/>
      <c r="X47" s="290">
        <f>IFERROR(VLOOKUP($W47,'Ref tables'!$C$18:$D$31,2,0),0)</f>
        <v>0</v>
      </c>
      <c r="Y47" s="173">
        <f t="shared" si="5"/>
        <v>0</v>
      </c>
      <c r="Z47" s="194"/>
      <c r="AA47" s="194"/>
      <c r="AB47" s="194"/>
    </row>
    <row r="48" spans="2:28" ht="14.25" customHeight="1">
      <c r="B48" s="198"/>
      <c r="C48" s="199"/>
      <c r="D48" s="290">
        <f>IFERROR(VLOOKUP($C48,'Ref tables'!$C$18:$D$31,2,0),0)</f>
        <v>0</v>
      </c>
      <c r="E48" s="173">
        <f t="shared" si="1"/>
        <v>0</v>
      </c>
      <c r="F48" s="194"/>
      <c r="G48" s="198"/>
      <c r="H48" s="199"/>
      <c r="I48" s="290">
        <f>IFERROR(VLOOKUP($H48,'Ref tables'!$C$18:$D$31,2,0),0)</f>
        <v>0</v>
      </c>
      <c r="J48" s="173">
        <f t="shared" si="2"/>
        <v>0</v>
      </c>
      <c r="K48" s="194"/>
      <c r="L48" s="198"/>
      <c r="M48" s="199"/>
      <c r="N48" s="290">
        <f>IFERROR(VLOOKUP($M48,'Ref tables'!$C$18:$D$31,2,0),0)</f>
        <v>0</v>
      </c>
      <c r="O48" s="173">
        <f t="shared" si="3"/>
        <v>0</v>
      </c>
      <c r="P48" s="194"/>
      <c r="Q48" s="198"/>
      <c r="R48" s="199"/>
      <c r="S48" s="290">
        <f>IFERROR(VLOOKUP($R48,'Ref tables'!$C$18:$D$31,2,0),0)</f>
        <v>0</v>
      </c>
      <c r="T48" s="173">
        <f t="shared" si="4"/>
        <v>0</v>
      </c>
      <c r="U48" s="194"/>
      <c r="V48" s="198"/>
      <c r="W48" s="199"/>
      <c r="X48" s="290">
        <f>IFERROR(VLOOKUP($W48,'Ref tables'!$C$18:$D$31,2,0),0)</f>
        <v>0</v>
      </c>
      <c r="Y48" s="173">
        <f t="shared" si="5"/>
        <v>0</v>
      </c>
      <c r="Z48" s="194"/>
      <c r="AA48" s="194"/>
      <c r="AB48" s="194"/>
    </row>
    <row r="49" spans="2:28" ht="14.25" customHeight="1">
      <c r="B49" s="198"/>
      <c r="C49" s="199"/>
      <c r="D49" s="290">
        <f>IFERROR(VLOOKUP($C49,'Ref tables'!$C$18:$D$31,2,0),0)</f>
        <v>0</v>
      </c>
      <c r="E49" s="173">
        <f t="shared" si="1"/>
        <v>0</v>
      </c>
      <c r="F49" s="194"/>
      <c r="G49" s="198"/>
      <c r="H49" s="199"/>
      <c r="I49" s="290">
        <f>IFERROR(VLOOKUP($H49,'Ref tables'!$C$18:$D$31,2,0),0)</f>
        <v>0</v>
      </c>
      <c r="J49" s="173">
        <f t="shared" si="2"/>
        <v>0</v>
      </c>
      <c r="K49" s="194"/>
      <c r="L49" s="198"/>
      <c r="M49" s="199"/>
      <c r="N49" s="290">
        <f>IFERROR(VLOOKUP($M49,'Ref tables'!$C$18:$D$31,2,0),0)</f>
        <v>0</v>
      </c>
      <c r="O49" s="173">
        <f t="shared" si="3"/>
        <v>0</v>
      </c>
      <c r="P49" s="194"/>
      <c r="Q49" s="198"/>
      <c r="R49" s="199"/>
      <c r="S49" s="290">
        <f>IFERROR(VLOOKUP($R49,'Ref tables'!$C$18:$D$31,2,0),0)</f>
        <v>0</v>
      </c>
      <c r="T49" s="173">
        <f t="shared" si="4"/>
        <v>0</v>
      </c>
      <c r="U49" s="194"/>
      <c r="V49" s="198"/>
      <c r="W49" s="199"/>
      <c r="X49" s="290">
        <f>IFERROR(VLOOKUP($W49,'Ref tables'!$C$18:$D$31,2,0),0)</f>
        <v>0</v>
      </c>
      <c r="Y49" s="173">
        <f t="shared" si="5"/>
        <v>0</v>
      </c>
      <c r="Z49" s="194"/>
      <c r="AA49" s="194"/>
      <c r="AB49" s="194"/>
    </row>
    <row r="50" spans="2:28" ht="14.25" customHeight="1">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row>
    <row r="51" spans="2:28" ht="14.25" customHeight="1">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c r="AB51" s="194"/>
    </row>
    <row r="52" spans="2:28" ht="14.25" customHeight="1">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c r="AA52" s="194"/>
      <c r="AB52" s="194"/>
    </row>
    <row r="53" spans="2:28" ht="14.25" customHeight="1">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row>
    <row r="54" spans="2:28" ht="14.25" customHeight="1">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c r="AA54" s="194"/>
      <c r="AB54" s="194"/>
    </row>
    <row r="55" spans="2:28" ht="14.25" customHeight="1">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c r="AB55" s="194"/>
    </row>
    <row r="56" spans="2:28" ht="14.25" customHeight="1">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c r="AA56" s="194"/>
      <c r="AB56" s="194"/>
    </row>
    <row r="57" spans="2:28" ht="14.25" customHeight="1">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c r="AA57" s="194"/>
      <c r="AB57" s="194"/>
    </row>
    <row r="58" spans="2:28" ht="14.25" customHeight="1">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row>
    <row r="59" spans="2:28" ht="14.25" customHeight="1">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row>
    <row r="60" spans="2:28" ht="14.25" customHeight="1">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c r="AA60" s="194"/>
      <c r="AB60" s="194"/>
    </row>
    <row r="61" spans="2:28" ht="14.25" customHeight="1">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c r="AB61" s="194"/>
    </row>
    <row r="62" spans="2:28" ht="14.25" customHeight="1">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c r="AA62" s="194"/>
      <c r="AB62" s="194"/>
    </row>
    <row r="63" spans="2:28" ht="14.25" customHeight="1">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row>
    <row r="64" spans="2:28" ht="14.25" customHeight="1">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c r="AA64" s="194"/>
      <c r="AB64" s="194"/>
    </row>
    <row r="65" spans="2:28" ht="14.25" customHeight="1">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c r="AA65" s="194"/>
      <c r="AB65" s="194"/>
    </row>
    <row r="66" spans="2:28" ht="14.25" customHeight="1">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c r="AA66" s="194"/>
      <c r="AB66" s="194"/>
    </row>
    <row r="67" spans="2:28" ht="14.25" customHeight="1">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c r="AA67" s="194"/>
      <c r="AB67" s="194"/>
    </row>
    <row r="68" spans="2:28" ht="14.25" customHeight="1">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row>
    <row r="69" spans="2:28" ht="14.25" customHeight="1">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c r="AA69" s="194"/>
      <c r="AB69" s="194"/>
    </row>
    <row r="70" spans="2:28" ht="14.25" customHeight="1">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c r="AA70" s="194"/>
      <c r="AB70" s="194"/>
    </row>
    <row r="71" spans="2:28" ht="14.25" customHeight="1">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194"/>
    </row>
    <row r="72" spans="2:28" ht="14.25" customHeight="1">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row>
    <row r="73" spans="2:28" ht="14.25" customHeight="1">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c r="AA73" s="194"/>
      <c r="AB73" s="194"/>
    </row>
    <row r="74" spans="2:28" ht="14.25" customHeight="1">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row>
    <row r="75" spans="2:28" ht="14.25" customHeight="1">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c r="AA75" s="194"/>
      <c r="AB75" s="194"/>
    </row>
    <row r="76" spans="2:28" ht="14.25" customHeight="1">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c r="AA76" s="194"/>
      <c r="AB76" s="194"/>
    </row>
    <row r="77" spans="2:28" ht="14.25" customHeight="1">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c r="AA77" s="194"/>
      <c r="AB77" s="194"/>
    </row>
    <row r="78" spans="2:28" ht="14.25" customHeight="1">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row>
    <row r="79" spans="2:28" ht="14.25" customHeight="1">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row>
    <row r="80" spans="2:28" ht="14.25" customHeight="1">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c r="AA80" s="194"/>
      <c r="AB80" s="194"/>
    </row>
    <row r="81" spans="2:28" ht="14.25" customHeight="1">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c r="AA81" s="194"/>
      <c r="AB81" s="194"/>
    </row>
    <row r="82" spans="2:28" ht="14.25" customHeight="1">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c r="AA82" s="194"/>
      <c r="AB82" s="194"/>
    </row>
    <row r="83" spans="2:28" ht="14.25" customHeight="1">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94"/>
    </row>
    <row r="84" spans="2:28" ht="14.25" customHeight="1">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c r="AA84" s="194"/>
      <c r="AB84" s="194"/>
    </row>
    <row r="85" spans="2:28" ht="14.25" customHeight="1">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c r="AA85" s="194"/>
      <c r="AB85" s="194"/>
    </row>
    <row r="86" spans="2:28" ht="14.25" customHeight="1">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c r="AA86" s="194"/>
      <c r="AB86" s="194"/>
    </row>
    <row r="87" spans="2:28" ht="14.25" customHeight="1">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row>
    <row r="88" spans="2:28" ht="14.25" customHeight="1">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c r="AA88" s="194"/>
      <c r="AB88" s="194"/>
    </row>
    <row r="89" spans="2:28" ht="14.25" customHeight="1">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c r="AA89" s="194"/>
      <c r="AB89" s="194"/>
    </row>
    <row r="90" spans="2:28" ht="14.25" customHeight="1">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c r="AA90" s="194"/>
      <c r="AB90" s="194"/>
    </row>
    <row r="91" spans="2:28" ht="14.25" customHeight="1">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c r="AA91" s="194"/>
      <c r="AB91" s="194"/>
    </row>
    <row r="92" spans="2:28" ht="14.25" customHeight="1">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c r="AA92" s="194"/>
      <c r="AB92" s="194"/>
    </row>
    <row r="93" spans="2:28" ht="14.25" customHeight="1">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c r="AA93" s="194"/>
      <c r="AB93" s="194"/>
    </row>
    <row r="94" spans="2:28" ht="14.25" customHeight="1">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c r="AA94" s="194"/>
      <c r="AB94" s="194"/>
    </row>
    <row r="95" spans="2:28" ht="14.25" customHeight="1">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c r="AA95" s="194"/>
      <c r="AB95" s="194"/>
    </row>
    <row r="96" spans="2:28" ht="14.25" customHeight="1">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c r="AA96" s="194"/>
      <c r="AB96" s="194"/>
    </row>
    <row r="97" spans="2:28" ht="14.25" customHeight="1">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c r="AA97" s="194"/>
      <c r="AB97" s="194"/>
    </row>
    <row r="98" spans="2:28" ht="14.25" customHeight="1">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row>
    <row r="99" spans="2:28" ht="14.25" customHeight="1">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c r="AA99" s="194"/>
      <c r="AB99" s="194"/>
    </row>
    <row r="100" spans="2:28" ht="14.25" customHeight="1">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row>
    <row r="101" spans="2:28" ht="14.25" customHeight="1">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c r="AA101" s="194"/>
      <c r="AB101" s="194"/>
    </row>
    <row r="102" spans="2:28" ht="14.25" customHeight="1">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row>
    <row r="103" spans="2:28" ht="14.25" customHeight="1">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c r="AA103" s="194"/>
      <c r="AB103" s="194"/>
    </row>
    <row r="104" spans="2:28" ht="14.25" customHeight="1">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c r="AA104" s="194"/>
      <c r="AB104" s="194"/>
    </row>
    <row r="105" spans="2:28" ht="14.25" customHeight="1">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c r="AA105" s="194"/>
      <c r="AB105" s="194"/>
    </row>
    <row r="106" spans="2:28" ht="14.25" customHeight="1">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row>
    <row r="107" spans="2:28" ht="14.25" customHeight="1">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c r="AA107" s="194"/>
      <c r="AB107" s="194"/>
    </row>
    <row r="108" spans="2:28" ht="14.25" customHeight="1">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row>
    <row r="109" spans="2:28" ht="14.25" customHeight="1">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c r="AA109" s="194"/>
      <c r="AB109" s="194"/>
    </row>
    <row r="110" spans="2:28" ht="14.25" customHeight="1">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c r="AA110" s="194"/>
      <c r="AB110" s="194"/>
    </row>
    <row r="111" spans="2:28" ht="14.25" customHeight="1">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c r="AA111" s="194"/>
      <c r="AB111" s="194"/>
    </row>
    <row r="112" spans="2:28" ht="14.25" customHeight="1">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row>
    <row r="113" spans="2:28" ht="14.25" customHeight="1">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row>
    <row r="114" spans="2:28" ht="14.25" customHeight="1">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row>
    <row r="115" spans="2:28" ht="14.25" customHeight="1">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row>
    <row r="116" spans="2:28" ht="14.25" customHeight="1">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row>
    <row r="117" spans="2:28" ht="14.25" customHeight="1">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row>
    <row r="118" spans="2:28" ht="14.25" customHeight="1">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c r="AA118" s="194"/>
      <c r="AB118" s="194"/>
    </row>
    <row r="119" spans="2:28" ht="14.25" customHeight="1">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row>
    <row r="120" spans="2:28" ht="14.25" customHeight="1">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row>
    <row r="121" spans="2:28" ht="14.25" customHeight="1">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row>
    <row r="122" spans="2:28" ht="14.25" customHeight="1">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c r="AA122" s="194"/>
      <c r="AB122" s="194"/>
    </row>
    <row r="123" spans="2:28" ht="14.25" customHeight="1">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c r="AA123" s="194"/>
      <c r="AB123" s="194"/>
    </row>
    <row r="124" spans="2:28" ht="14.25" customHeight="1">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row>
    <row r="125" spans="2:28" ht="14.25" customHeight="1">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row>
    <row r="126" spans="2:28" ht="14.25" customHeight="1">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c r="AA126" s="194"/>
      <c r="AB126" s="194"/>
    </row>
    <row r="127" spans="2:28" ht="14.25" customHeight="1">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row>
    <row r="128" spans="2:28" ht="14.25" customHeight="1">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row>
    <row r="129" spans="2:28" ht="14.25" customHeight="1">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row>
    <row r="130" spans="2:28" ht="14.25" customHeight="1">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c r="AA130" s="194"/>
      <c r="AB130" s="194"/>
    </row>
    <row r="131" spans="2:28" ht="14.25" customHeight="1">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c r="AA131" s="194"/>
      <c r="AB131" s="194"/>
    </row>
    <row r="132" spans="2:28" ht="14.25" customHeight="1">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c r="AA132" s="194"/>
      <c r="AB132" s="194"/>
    </row>
    <row r="133" spans="2:28" ht="14.25" customHeight="1">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c r="AA133" s="194"/>
      <c r="AB133" s="194"/>
    </row>
    <row r="134" spans="2:28" ht="14.25" customHeight="1">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row>
    <row r="135" spans="2:28" ht="14.25" customHeight="1">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row>
    <row r="136" spans="2:28" ht="14.25" customHeight="1">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row>
    <row r="137" spans="2:28" ht="14.25" customHeight="1">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row>
    <row r="138" spans="2:28" ht="14.25" customHeight="1">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row>
    <row r="139" spans="2:28" ht="14.25" customHeight="1">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row>
    <row r="140" spans="2:28" ht="14.25" customHeight="1">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row>
    <row r="141" spans="2:28" ht="14.25" customHeight="1">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c r="AA141" s="194"/>
      <c r="AB141" s="194"/>
    </row>
    <row r="142" spans="2:28" ht="14.25" customHeight="1">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c r="AA142" s="194"/>
      <c r="AB142" s="194"/>
    </row>
    <row r="143" spans="2:28" ht="14.25" customHeight="1">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row>
    <row r="144" spans="2:28" ht="14.25" customHeight="1">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row>
    <row r="145" spans="2:28" ht="14.25" customHeight="1">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c r="AA145" s="194"/>
      <c r="AB145" s="194"/>
    </row>
    <row r="146" spans="2:28" ht="14.25" customHeight="1">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c r="AA146" s="194"/>
      <c r="AB146" s="194"/>
    </row>
    <row r="147" spans="2:28" ht="14.25" customHeight="1">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c r="AA147" s="194"/>
      <c r="AB147" s="194"/>
    </row>
    <row r="148" spans="2:28" ht="14.25" customHeight="1">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row>
    <row r="149" spans="2:28" ht="14.25" customHeight="1">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c r="AA149" s="194"/>
      <c r="AB149" s="194"/>
    </row>
    <row r="150" spans="2:28" ht="14.25" customHeight="1">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c r="AA150" s="194"/>
      <c r="AB150" s="194"/>
    </row>
    <row r="151" spans="2:28" ht="14.25" customHeight="1">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c r="AA151" s="194"/>
      <c r="AB151" s="194"/>
    </row>
    <row r="152" spans="2:28" ht="14.25" customHeight="1">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row>
    <row r="153" spans="2:28" ht="14.25" customHeight="1">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row>
    <row r="154" spans="2:28" ht="14.25" customHeight="1">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row>
    <row r="155" spans="2:28" ht="14.25" customHeight="1">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row>
    <row r="156" spans="2:28" ht="14.25" customHeight="1">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row>
    <row r="157" spans="2:28" ht="14.25" customHeight="1">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row>
    <row r="158" spans="2:28" ht="14.25" customHeight="1">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row>
    <row r="159" spans="2:28" ht="14.25" customHeight="1">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row>
    <row r="160" spans="2:28" ht="14.25" customHeight="1">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row>
    <row r="161" spans="2:28" ht="14.25" customHeight="1">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row>
    <row r="162" spans="2:28" ht="14.25" customHeight="1">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row>
    <row r="163" spans="2:28" ht="14.25" customHeight="1">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row>
    <row r="164" spans="2:28" ht="14.25" customHeight="1">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row>
    <row r="165" spans="2:28" ht="14.25" customHeight="1">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row>
    <row r="166" spans="2:28" ht="14.25" customHeight="1">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row>
    <row r="167" spans="2:28" ht="14.25" customHeight="1">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c r="AA167" s="194"/>
      <c r="AB167" s="194"/>
    </row>
    <row r="168" spans="2:28" ht="14.25" customHeight="1">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row>
    <row r="169" spans="2:28" ht="14.25" customHeight="1">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row>
    <row r="170" spans="2:28" ht="14.25" customHeight="1">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row>
    <row r="171" spans="2:28" ht="14.25" customHeight="1">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row>
    <row r="172" spans="2:28" ht="14.25" customHeight="1">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row>
    <row r="173" spans="2:28" ht="14.25" customHeight="1">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row>
    <row r="174" spans="2:28" ht="14.25" customHeight="1">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row>
    <row r="175" spans="2:28" ht="14.25" customHeight="1">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row>
    <row r="176" spans="2:28" ht="14.25" customHeight="1">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row>
    <row r="177" spans="2:28" ht="14.25" customHeight="1">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row>
    <row r="178" spans="2:28" ht="14.25" customHeight="1">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row>
    <row r="179" spans="2:28" ht="14.25" customHeight="1">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row>
    <row r="180" spans="2:28" ht="14.25" customHeight="1">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row>
    <row r="181" spans="2:28" ht="14.25" customHeight="1">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row>
    <row r="182" spans="2:28" ht="14.25" customHeight="1">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c r="AA182" s="194"/>
      <c r="AB182" s="194"/>
    </row>
    <row r="183" spans="2:28" ht="14.25" customHeight="1">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row>
    <row r="184" spans="2:28" ht="14.25" customHeight="1">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row>
    <row r="185" spans="2:28" ht="14.25" customHeight="1">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c r="AA185" s="194"/>
      <c r="AB185" s="194"/>
    </row>
    <row r="186" spans="2:28" ht="14.25" customHeight="1">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row>
    <row r="187" spans="2:28" ht="14.25" customHeight="1">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row>
    <row r="188" spans="2:28" ht="14.25" customHeight="1">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c r="AA188" s="194"/>
      <c r="AB188" s="194"/>
    </row>
    <row r="189" spans="2:28" ht="14.25" customHeight="1">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row>
    <row r="190" spans="2:28" ht="14.25" customHeight="1">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c r="AA190" s="194"/>
      <c r="AB190" s="194"/>
    </row>
    <row r="191" spans="2:28" ht="14.25" customHeight="1">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c r="AA191" s="194"/>
      <c r="AB191" s="194"/>
    </row>
    <row r="192" spans="2:28" ht="14.25" customHeight="1">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row>
    <row r="193" spans="2:28" ht="14.25" customHeight="1">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row>
    <row r="194" spans="2:28" ht="14.25" customHeight="1">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row>
    <row r="195" spans="2:28" ht="14.25" customHeight="1">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row>
    <row r="196" spans="2:28" ht="14.25" customHeight="1">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row>
    <row r="197" spans="2:28" ht="14.25" customHeight="1">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c r="AA197" s="194"/>
      <c r="AB197" s="194"/>
    </row>
    <row r="198" spans="2:28" ht="14.25" customHeight="1">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c r="AA198" s="194"/>
      <c r="AB198" s="194"/>
    </row>
    <row r="199" spans="2:28" ht="14.25" customHeight="1">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row>
    <row r="200" spans="2:28" ht="14.25" customHeight="1">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c r="AA200" s="194"/>
      <c r="AB200" s="194"/>
    </row>
    <row r="201" spans="2:28" ht="14.25" customHeight="1">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c r="AA201" s="194"/>
      <c r="AB201" s="194"/>
    </row>
    <row r="202" spans="2:28" ht="14.25" customHeight="1">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c r="AA202" s="194"/>
      <c r="AB202" s="194"/>
    </row>
    <row r="203" spans="2:28" ht="14.25" customHeight="1">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c r="AA203" s="194"/>
      <c r="AB203" s="194"/>
    </row>
    <row r="204" spans="2:28" ht="14.25" customHeight="1">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row>
    <row r="205" spans="2:28" ht="14.25" customHeight="1">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row>
    <row r="206" spans="2:28" ht="14.25" customHeight="1">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row>
    <row r="207" spans="2:28" ht="14.25" customHeight="1">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row>
    <row r="208" spans="2:28" ht="14.25" customHeight="1">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row>
    <row r="209" spans="2:28" ht="14.25" customHeight="1">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c r="AA209" s="194"/>
      <c r="AB209" s="194"/>
    </row>
    <row r="210" spans="2:28" ht="14.25" customHeight="1">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c r="AA210" s="194"/>
      <c r="AB210" s="194"/>
    </row>
    <row r="211" spans="2:28" ht="14.25" customHeight="1">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c r="AA211" s="194"/>
      <c r="AB211" s="194"/>
    </row>
    <row r="212" spans="2:28" ht="14.25" customHeight="1">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c r="AA212" s="194"/>
      <c r="AB212" s="194"/>
    </row>
    <row r="213" spans="2:28" ht="14.25" customHeight="1">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c r="AA213" s="194"/>
      <c r="AB213" s="194"/>
    </row>
    <row r="214" spans="2:28" ht="14.25" customHeight="1">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row>
    <row r="215" spans="2:28" ht="14.25" customHeight="1">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row>
    <row r="216" spans="2:28" ht="14.25" customHeight="1">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row>
    <row r="217" spans="2:28" ht="14.25" customHeight="1">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row>
    <row r="218" spans="2:28" ht="14.25" customHeight="1">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row>
    <row r="219" spans="2:28" ht="14.25" customHeight="1">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row>
    <row r="220" spans="2:28" ht="14.25" customHeight="1">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row>
    <row r="221" spans="2:28" ht="14.25" customHeight="1">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row>
    <row r="222" spans="2:28" ht="14.25" customHeight="1">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row>
    <row r="223" spans="2:28" ht="14.25" customHeight="1">
      <c r="B223" s="194"/>
      <c r="C223" s="194"/>
      <c r="D223" s="194"/>
      <c r="E223" s="194"/>
      <c r="F223" s="194"/>
      <c r="G223" s="194"/>
      <c r="H223" s="194"/>
      <c r="I223" s="194"/>
      <c r="J223" s="194"/>
      <c r="K223" s="194"/>
      <c r="L223" s="194"/>
      <c r="M223" s="194"/>
      <c r="N223" s="194"/>
      <c r="O223" s="194"/>
      <c r="P223" s="194"/>
      <c r="Q223" s="194"/>
      <c r="R223" s="194"/>
      <c r="S223" s="194"/>
      <c r="T223" s="194"/>
      <c r="U223" s="194"/>
      <c r="V223" s="194"/>
      <c r="W223" s="194"/>
      <c r="X223" s="194"/>
      <c r="Y223" s="194"/>
      <c r="Z223" s="194"/>
      <c r="AA223" s="194"/>
      <c r="AB223" s="194"/>
    </row>
    <row r="224" spans="2:28" ht="14.25" customHeight="1">
      <c r="B224" s="194"/>
      <c r="C224" s="194"/>
      <c r="D224" s="194"/>
      <c r="E224" s="194"/>
      <c r="F224" s="194"/>
      <c r="G224" s="194"/>
      <c r="H224" s="194"/>
      <c r="I224" s="194"/>
      <c r="J224" s="194"/>
      <c r="K224" s="194"/>
      <c r="L224" s="194"/>
      <c r="M224" s="194"/>
      <c r="N224" s="194"/>
      <c r="O224" s="194"/>
      <c r="P224" s="194"/>
      <c r="Q224" s="194"/>
      <c r="R224" s="194"/>
      <c r="S224" s="194"/>
      <c r="T224" s="194"/>
      <c r="U224" s="194"/>
      <c r="V224" s="194"/>
      <c r="W224" s="194"/>
      <c r="X224" s="194"/>
      <c r="Y224" s="194"/>
      <c r="Z224" s="194"/>
      <c r="AA224" s="194"/>
      <c r="AB224" s="194"/>
    </row>
    <row r="225" spans="2:28" ht="14.25" customHeight="1">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row>
    <row r="226" spans="2:28" ht="14.25" customHeight="1">
      <c r="B226" s="194"/>
      <c r="C226" s="194"/>
      <c r="D226" s="194"/>
      <c r="E226" s="194"/>
      <c r="F226" s="194"/>
      <c r="G226" s="194"/>
      <c r="H226" s="194"/>
      <c r="I226" s="194"/>
      <c r="J226" s="194"/>
      <c r="K226" s="194"/>
      <c r="L226" s="194"/>
      <c r="M226" s="194"/>
      <c r="N226" s="194"/>
      <c r="O226" s="194"/>
      <c r="P226" s="194"/>
      <c r="Q226" s="194"/>
      <c r="R226" s="194"/>
      <c r="S226" s="194"/>
      <c r="T226" s="194"/>
      <c r="U226" s="194"/>
      <c r="V226" s="194"/>
      <c r="W226" s="194"/>
      <c r="X226" s="194"/>
      <c r="Y226" s="194"/>
      <c r="Z226" s="194"/>
      <c r="AA226" s="194"/>
      <c r="AB226" s="194"/>
    </row>
    <row r="227" spans="2:28" ht="14.25" customHeight="1">
      <c r="B227" s="194"/>
      <c r="C227" s="194"/>
      <c r="D227" s="194"/>
      <c r="E227" s="194"/>
      <c r="F227" s="194"/>
      <c r="G227" s="194"/>
      <c r="H227" s="194"/>
      <c r="I227" s="194"/>
      <c r="J227" s="194"/>
      <c r="K227" s="194"/>
      <c r="L227" s="194"/>
      <c r="M227" s="194"/>
      <c r="N227" s="194"/>
      <c r="O227" s="194"/>
      <c r="P227" s="194"/>
      <c r="Q227" s="194"/>
      <c r="R227" s="194"/>
      <c r="S227" s="194"/>
      <c r="T227" s="194"/>
      <c r="U227" s="194"/>
      <c r="V227" s="194"/>
      <c r="W227" s="194"/>
      <c r="X227" s="194"/>
      <c r="Y227" s="194"/>
      <c r="Z227" s="194"/>
      <c r="AA227" s="194"/>
      <c r="AB227" s="194"/>
    </row>
    <row r="228" spans="2:28" ht="14.25" customHeight="1">
      <c r="B228" s="194"/>
      <c r="C228" s="194"/>
      <c r="D228" s="194"/>
      <c r="E228" s="194"/>
      <c r="F228" s="194"/>
      <c r="G228" s="194"/>
      <c r="H228" s="194"/>
      <c r="I228" s="194"/>
      <c r="J228" s="194"/>
      <c r="K228" s="194"/>
      <c r="L228" s="194"/>
      <c r="M228" s="194"/>
      <c r="N228" s="194"/>
      <c r="O228" s="194"/>
      <c r="P228" s="194"/>
      <c r="Q228" s="194"/>
      <c r="R228" s="194"/>
      <c r="S228" s="194"/>
      <c r="T228" s="194"/>
      <c r="U228" s="194"/>
      <c r="V228" s="194"/>
      <c r="W228" s="194"/>
      <c r="X228" s="194"/>
      <c r="Y228" s="194"/>
      <c r="Z228" s="194"/>
      <c r="AA228" s="194"/>
      <c r="AB228" s="194"/>
    </row>
    <row r="229" spans="2:28" ht="14.25" customHeight="1">
      <c r="B229" s="194"/>
      <c r="C229" s="194"/>
      <c r="D229" s="194"/>
      <c r="E229" s="194"/>
      <c r="F229" s="194"/>
      <c r="G229" s="194"/>
      <c r="H229" s="194"/>
      <c r="I229" s="194"/>
      <c r="J229" s="194"/>
      <c r="K229" s="194"/>
      <c r="L229" s="194"/>
      <c r="M229" s="194"/>
      <c r="N229" s="194"/>
      <c r="O229" s="194"/>
      <c r="P229" s="194"/>
      <c r="Q229" s="194"/>
      <c r="R229" s="194"/>
      <c r="S229" s="194"/>
      <c r="T229" s="194"/>
      <c r="U229" s="194"/>
      <c r="V229" s="194"/>
      <c r="W229" s="194"/>
      <c r="X229" s="194"/>
      <c r="Y229" s="194"/>
      <c r="Z229" s="194"/>
      <c r="AA229" s="194"/>
      <c r="AB229" s="194"/>
    </row>
    <row r="230" spans="2:28" ht="14.25" customHeight="1">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row>
    <row r="231" spans="2:28" ht="14.25" customHeight="1">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row>
    <row r="232" spans="2:28" ht="14.25" customHeight="1">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row>
    <row r="233" spans="2:28" ht="14.25" customHeight="1">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row>
    <row r="234" spans="2:28" ht="14.25" customHeight="1">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row>
    <row r="235" spans="2:28" ht="14.25" customHeight="1">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row>
    <row r="236" spans="2:28" ht="14.25" customHeight="1">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row>
    <row r="237" spans="2:28" ht="14.25" customHeight="1">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c r="AA237" s="194"/>
      <c r="AB237" s="194"/>
    </row>
    <row r="238" spans="2:28" ht="14.25" customHeight="1">
      <c r="B238" s="194"/>
      <c r="C238" s="194"/>
      <c r="D238" s="194"/>
      <c r="E238" s="194"/>
      <c r="F238" s="194"/>
      <c r="G238" s="194"/>
      <c r="H238" s="194"/>
      <c r="I238" s="194"/>
      <c r="J238" s="194"/>
      <c r="K238" s="194"/>
      <c r="L238" s="194"/>
      <c r="M238" s="194"/>
      <c r="N238" s="194"/>
      <c r="O238" s="194"/>
      <c r="P238" s="194"/>
      <c r="Q238" s="194"/>
      <c r="R238" s="194"/>
      <c r="S238" s="194"/>
      <c r="T238" s="194"/>
      <c r="U238" s="194"/>
      <c r="V238" s="194"/>
      <c r="W238" s="194"/>
      <c r="X238" s="194"/>
      <c r="Y238" s="194"/>
      <c r="Z238" s="194"/>
      <c r="AA238" s="194"/>
      <c r="AB238" s="194"/>
    </row>
    <row r="239" spans="2:28" ht="14.25" customHeight="1">
      <c r="B239" s="194"/>
      <c r="C239" s="194"/>
      <c r="D239" s="194"/>
      <c r="E239" s="194"/>
      <c r="F239" s="194"/>
      <c r="G239" s="194"/>
      <c r="H239" s="194"/>
      <c r="I239" s="194"/>
      <c r="J239" s="194"/>
      <c r="K239" s="194"/>
      <c r="L239" s="194"/>
      <c r="M239" s="194"/>
      <c r="N239" s="194"/>
      <c r="O239" s="194"/>
      <c r="P239" s="194"/>
      <c r="Q239" s="194"/>
      <c r="R239" s="194"/>
      <c r="S239" s="194"/>
      <c r="T239" s="194"/>
      <c r="U239" s="194"/>
      <c r="V239" s="194"/>
      <c r="W239" s="194"/>
      <c r="X239" s="194"/>
      <c r="Y239" s="194"/>
      <c r="Z239" s="194"/>
      <c r="AA239" s="194"/>
      <c r="AB239" s="194"/>
    </row>
    <row r="240" spans="2:28" ht="14.25" customHeight="1">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c r="AA240" s="194"/>
      <c r="AB240" s="194"/>
    </row>
    <row r="241" spans="2:28" ht="14.25" customHeight="1">
      <c r="B241" s="194"/>
      <c r="C241" s="194"/>
      <c r="D241" s="194"/>
      <c r="E241" s="194"/>
      <c r="F241" s="194"/>
      <c r="G241" s="194"/>
      <c r="H241" s="194"/>
      <c r="I241" s="194"/>
      <c r="J241" s="194"/>
      <c r="K241" s="194"/>
      <c r="L241" s="194"/>
      <c r="M241" s="194"/>
      <c r="N241" s="194"/>
      <c r="O241" s="194"/>
      <c r="P241" s="194"/>
      <c r="Q241" s="194"/>
      <c r="R241" s="194"/>
      <c r="S241" s="194"/>
      <c r="T241" s="194"/>
      <c r="U241" s="194"/>
      <c r="V241" s="194"/>
      <c r="W241" s="194"/>
      <c r="X241" s="194"/>
      <c r="Y241" s="194"/>
      <c r="Z241" s="194"/>
      <c r="AA241" s="194"/>
      <c r="AB241" s="194"/>
    </row>
    <row r="242" spans="2:28" ht="14.25" customHeight="1">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row>
    <row r="243" spans="2:28" ht="14.25" customHeight="1">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row>
    <row r="244" spans="2:28" ht="14.25" customHeight="1">
      <c r="B244" s="194"/>
      <c r="C244" s="194"/>
      <c r="D244" s="194"/>
      <c r="E244" s="194"/>
      <c r="F244" s="194"/>
      <c r="G244" s="194"/>
      <c r="H244" s="194"/>
      <c r="I244" s="194"/>
      <c r="J244" s="194"/>
      <c r="K244" s="194"/>
      <c r="L244" s="194"/>
      <c r="M244" s="194"/>
      <c r="N244" s="194"/>
      <c r="O244" s="194"/>
      <c r="P244" s="194"/>
      <c r="Q244" s="194"/>
      <c r="R244" s="194"/>
      <c r="S244" s="194"/>
      <c r="T244" s="194"/>
      <c r="U244" s="194"/>
      <c r="V244" s="194"/>
      <c r="W244" s="194"/>
      <c r="X244" s="194"/>
      <c r="Y244" s="194"/>
      <c r="Z244" s="194"/>
      <c r="AA244" s="194"/>
      <c r="AB244" s="194"/>
    </row>
    <row r="245" spans="2:28" ht="14.25" customHeight="1">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row>
    <row r="246" spans="2:28" ht="14.25" customHeight="1">
      <c r="B246" s="194"/>
      <c r="C246" s="194"/>
      <c r="D246" s="194"/>
      <c r="E246" s="194"/>
      <c r="F246" s="194"/>
      <c r="G246" s="194"/>
      <c r="H246" s="194"/>
      <c r="I246" s="194"/>
      <c r="J246" s="194"/>
      <c r="K246" s="194"/>
      <c r="L246" s="194"/>
      <c r="M246" s="194"/>
      <c r="N246" s="194"/>
      <c r="O246" s="194"/>
      <c r="P246" s="194"/>
      <c r="Q246" s="194"/>
      <c r="R246" s="194"/>
      <c r="S246" s="194"/>
      <c r="T246" s="194"/>
      <c r="U246" s="194"/>
      <c r="V246" s="194"/>
      <c r="W246" s="194"/>
      <c r="X246" s="194"/>
      <c r="Y246" s="194"/>
      <c r="Z246" s="194"/>
      <c r="AA246" s="194"/>
      <c r="AB246" s="194"/>
    </row>
    <row r="247" spans="2:28" ht="14.25" customHeight="1">
      <c r="B247" s="194"/>
      <c r="C247" s="194"/>
      <c r="D247" s="194"/>
      <c r="E247" s="194"/>
      <c r="F247" s="194"/>
      <c r="G247" s="194"/>
      <c r="H247" s="194"/>
      <c r="I247" s="194"/>
      <c r="J247" s="194"/>
      <c r="K247" s="194"/>
      <c r="L247" s="194"/>
      <c r="M247" s="194"/>
      <c r="N247" s="194"/>
      <c r="O247" s="194"/>
      <c r="P247" s="194"/>
      <c r="Q247" s="194"/>
      <c r="R247" s="194"/>
      <c r="S247" s="194"/>
      <c r="T247" s="194"/>
      <c r="U247" s="194"/>
      <c r="V247" s="194"/>
      <c r="W247" s="194"/>
      <c r="X247" s="194"/>
      <c r="Y247" s="194"/>
      <c r="Z247" s="194"/>
      <c r="AA247" s="194"/>
      <c r="AB247" s="194"/>
    </row>
    <row r="248" spans="2:28" ht="14.25" customHeight="1">
      <c r="B248" s="194"/>
      <c r="C248" s="194"/>
      <c r="D248" s="194"/>
      <c r="E248" s="194"/>
      <c r="F248" s="194"/>
      <c r="G248" s="194"/>
      <c r="H248" s="194"/>
      <c r="I248" s="194"/>
      <c r="J248" s="194"/>
      <c r="K248" s="194"/>
      <c r="L248" s="194"/>
      <c r="M248" s="194"/>
      <c r="N248" s="194"/>
      <c r="O248" s="194"/>
      <c r="P248" s="194"/>
      <c r="Q248" s="194"/>
      <c r="R248" s="194"/>
      <c r="S248" s="194"/>
      <c r="T248" s="194"/>
      <c r="U248" s="194"/>
      <c r="V248" s="194"/>
      <c r="W248" s="194"/>
      <c r="X248" s="194"/>
      <c r="Y248" s="194"/>
      <c r="Z248" s="194"/>
      <c r="AA248" s="194"/>
      <c r="AB248" s="194"/>
    </row>
    <row r="249" spans="2:28" ht="14.25" customHeight="1">
      <c r="B249" s="194"/>
      <c r="C249" s="194"/>
      <c r="D249" s="194"/>
      <c r="E249" s="194"/>
      <c r="F249" s="194"/>
      <c r="G249" s="194"/>
      <c r="H249" s="194"/>
      <c r="I249" s="194"/>
      <c r="J249" s="194"/>
      <c r="K249" s="194"/>
      <c r="L249" s="194"/>
      <c r="M249" s="194"/>
      <c r="N249" s="194"/>
      <c r="O249" s="194"/>
      <c r="P249" s="194"/>
      <c r="Q249" s="194"/>
      <c r="R249" s="194"/>
      <c r="S249" s="194"/>
      <c r="T249" s="194"/>
      <c r="U249" s="194"/>
      <c r="V249" s="194"/>
      <c r="W249" s="194"/>
      <c r="X249" s="194"/>
      <c r="Y249" s="194"/>
      <c r="Z249" s="194"/>
      <c r="AA249" s="194"/>
      <c r="AB249" s="194"/>
    </row>
    <row r="250" spans="2:28" ht="14.25" customHeight="1">
      <c r="B250" s="194"/>
      <c r="C250" s="194"/>
      <c r="D250" s="194"/>
      <c r="E250" s="194"/>
      <c r="F250" s="194"/>
      <c r="G250" s="194"/>
      <c r="H250" s="194"/>
      <c r="I250" s="194"/>
      <c r="J250" s="194"/>
      <c r="K250" s="194"/>
      <c r="L250" s="194"/>
      <c r="M250" s="194"/>
      <c r="N250" s="194"/>
      <c r="O250" s="194"/>
      <c r="P250" s="194"/>
      <c r="Q250" s="194"/>
      <c r="R250" s="194"/>
      <c r="S250" s="194"/>
      <c r="T250" s="194"/>
      <c r="U250" s="194"/>
      <c r="V250" s="194"/>
      <c r="W250" s="194"/>
      <c r="X250" s="194"/>
      <c r="Y250" s="194"/>
      <c r="Z250" s="194"/>
      <c r="AA250" s="194"/>
      <c r="AB250" s="194"/>
    </row>
    <row r="251" spans="2:28" ht="14.25" customHeight="1">
      <c r="B251" s="194"/>
      <c r="C251" s="194"/>
      <c r="D251" s="194"/>
      <c r="E251" s="194"/>
      <c r="F251" s="194"/>
      <c r="G251" s="194"/>
      <c r="H251" s="194"/>
      <c r="I251" s="194"/>
      <c r="J251" s="194"/>
      <c r="K251" s="194"/>
      <c r="L251" s="194"/>
      <c r="M251" s="194"/>
      <c r="N251" s="194"/>
      <c r="O251" s="194"/>
      <c r="P251" s="194"/>
      <c r="Q251" s="194"/>
      <c r="R251" s="194"/>
      <c r="S251" s="194"/>
      <c r="T251" s="194"/>
      <c r="U251" s="194"/>
      <c r="V251" s="194"/>
      <c r="W251" s="194"/>
      <c r="X251" s="194"/>
      <c r="Y251" s="194"/>
      <c r="Z251" s="194"/>
      <c r="AA251" s="194"/>
      <c r="AB251" s="194"/>
    </row>
    <row r="252" spans="2:28" ht="14.25" customHeight="1">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row>
    <row r="253" spans="2:28" ht="14.25" customHeight="1">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row>
    <row r="254" spans="2:28" ht="14.25" customHeight="1">
      <c r="B254" s="194"/>
      <c r="C254" s="194"/>
      <c r="D254" s="194"/>
      <c r="E254" s="194"/>
      <c r="F254" s="194"/>
      <c r="G254" s="194"/>
      <c r="H254" s="194"/>
      <c r="I254" s="194"/>
      <c r="J254" s="194"/>
      <c r="K254" s="194"/>
      <c r="L254" s="194"/>
      <c r="M254" s="194"/>
      <c r="N254" s="194"/>
      <c r="O254" s="194"/>
      <c r="P254" s="194"/>
      <c r="Q254" s="194"/>
      <c r="R254" s="194"/>
      <c r="S254" s="194"/>
      <c r="T254" s="194"/>
      <c r="U254" s="194"/>
      <c r="V254" s="194"/>
      <c r="W254" s="194"/>
      <c r="X254" s="194"/>
      <c r="Y254" s="194"/>
      <c r="Z254" s="194"/>
      <c r="AA254" s="194"/>
      <c r="AB254" s="194"/>
    </row>
    <row r="255" spans="2:28" ht="14.25" customHeight="1">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row>
    <row r="256" spans="2:28" ht="14.25" customHeight="1">
      <c r="B256" s="194"/>
      <c r="C256" s="194"/>
      <c r="D256" s="194"/>
      <c r="E256" s="194"/>
      <c r="F256" s="194"/>
      <c r="G256" s="194"/>
      <c r="H256" s="194"/>
      <c r="I256" s="194"/>
      <c r="J256" s="194"/>
      <c r="K256" s="194"/>
      <c r="L256" s="194"/>
      <c r="M256" s="194"/>
      <c r="N256" s="194"/>
      <c r="O256" s="194"/>
      <c r="P256" s="194"/>
      <c r="Q256" s="194"/>
      <c r="R256" s="194"/>
      <c r="S256" s="194"/>
      <c r="T256" s="194"/>
      <c r="U256" s="194"/>
      <c r="V256" s="194"/>
      <c r="W256" s="194"/>
      <c r="X256" s="194"/>
      <c r="Y256" s="194"/>
      <c r="Z256" s="194"/>
      <c r="AA256" s="194"/>
      <c r="AB256" s="194"/>
    </row>
    <row r="257" spans="2:28" ht="14.25" customHeight="1">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row>
    <row r="258" spans="2:28" ht="14.25" customHeight="1">
      <c r="B258" s="194"/>
      <c r="C258" s="194"/>
      <c r="D258" s="194"/>
      <c r="E258" s="194"/>
      <c r="F258" s="194"/>
      <c r="G258" s="194"/>
      <c r="H258" s="194"/>
      <c r="I258" s="194"/>
      <c r="J258" s="194"/>
      <c r="K258" s="194"/>
      <c r="L258" s="194"/>
      <c r="M258" s="194"/>
      <c r="N258" s="194"/>
      <c r="O258" s="194"/>
      <c r="P258" s="194"/>
      <c r="Q258" s="194"/>
      <c r="R258" s="194"/>
      <c r="S258" s="194"/>
      <c r="T258" s="194"/>
      <c r="U258" s="194"/>
      <c r="V258" s="194"/>
      <c r="W258" s="194"/>
      <c r="X258" s="194"/>
      <c r="Y258" s="194"/>
      <c r="Z258" s="194"/>
      <c r="AA258" s="194"/>
      <c r="AB258" s="194"/>
    </row>
    <row r="259" spans="2:28" ht="14.25" customHeight="1">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row>
    <row r="260" spans="2:28" ht="14.25" customHeight="1">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row>
    <row r="261" spans="2:28" ht="14.25" customHeight="1">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row>
    <row r="262" spans="2:28" ht="14.25" customHeight="1">
      <c r="B262" s="194"/>
      <c r="C262" s="194"/>
      <c r="D262" s="194"/>
      <c r="E262" s="194"/>
      <c r="F262" s="194"/>
      <c r="G262" s="194"/>
      <c r="H262" s="194"/>
      <c r="I262" s="194"/>
      <c r="J262" s="194"/>
      <c r="K262" s="194"/>
      <c r="L262" s="194"/>
      <c r="M262" s="194"/>
      <c r="N262" s="194"/>
      <c r="O262" s="194"/>
      <c r="P262" s="194"/>
      <c r="Q262" s="194"/>
      <c r="R262" s="194"/>
      <c r="S262" s="194"/>
      <c r="T262" s="194"/>
      <c r="U262" s="194"/>
      <c r="V262" s="194"/>
      <c r="W262" s="194"/>
      <c r="X262" s="194"/>
      <c r="Y262" s="194"/>
      <c r="Z262" s="194"/>
      <c r="AA262" s="194"/>
      <c r="AB262" s="194"/>
    </row>
    <row r="263" spans="2:28" ht="14.25" customHeight="1">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row>
    <row r="264" spans="2:28" ht="14.25" customHeight="1">
      <c r="B264" s="194"/>
      <c r="C264" s="194"/>
      <c r="D264" s="194"/>
      <c r="E264" s="194"/>
      <c r="F264" s="194"/>
      <c r="G264" s="194"/>
      <c r="H264" s="194"/>
      <c r="I264" s="194"/>
      <c r="J264" s="194"/>
      <c r="K264" s="194"/>
      <c r="L264" s="194"/>
      <c r="M264" s="194"/>
      <c r="N264" s="194"/>
      <c r="O264" s="194"/>
      <c r="P264" s="194"/>
      <c r="Q264" s="194"/>
      <c r="R264" s="194"/>
      <c r="S264" s="194"/>
      <c r="T264" s="194"/>
      <c r="U264" s="194"/>
      <c r="V264" s="194"/>
      <c r="W264" s="194"/>
      <c r="X264" s="194"/>
      <c r="Y264" s="194"/>
      <c r="Z264" s="194"/>
      <c r="AA264" s="194"/>
      <c r="AB264" s="194"/>
    </row>
    <row r="265" spans="2:28" ht="14.25" customHeight="1">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c r="AA265" s="194"/>
      <c r="AB265" s="194"/>
    </row>
    <row r="266" spans="2:28" ht="14.25" customHeight="1">
      <c r="B266" s="194"/>
      <c r="C266" s="194"/>
      <c r="D266" s="194"/>
      <c r="E266" s="194"/>
      <c r="F266" s="194"/>
      <c r="G266" s="194"/>
      <c r="H266" s="194"/>
      <c r="I266" s="194"/>
      <c r="J266" s="194"/>
      <c r="K266" s="194"/>
      <c r="L266" s="194"/>
      <c r="M266" s="194"/>
      <c r="N266" s="194"/>
      <c r="O266" s="194"/>
      <c r="P266" s="194"/>
      <c r="Q266" s="194"/>
      <c r="R266" s="194"/>
      <c r="S266" s="194"/>
      <c r="T266" s="194"/>
      <c r="U266" s="194"/>
      <c r="V266" s="194"/>
      <c r="W266" s="194"/>
      <c r="X266" s="194"/>
      <c r="Y266" s="194"/>
      <c r="Z266" s="194"/>
      <c r="AA266" s="194"/>
      <c r="AB266" s="194"/>
    </row>
    <row r="267" spans="2:28" ht="14.25" customHeight="1">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c r="AA267" s="194"/>
      <c r="AB267" s="194"/>
    </row>
    <row r="268" spans="2:28" ht="14.25" customHeight="1">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c r="AA268" s="194"/>
      <c r="AB268" s="194"/>
    </row>
    <row r="269" spans="2:28" ht="14.25" customHeight="1">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c r="AA269" s="194"/>
      <c r="AB269" s="194"/>
    </row>
    <row r="270" spans="2:28" ht="14.25" customHeight="1">
      <c r="B270" s="194"/>
      <c r="C270" s="194"/>
      <c r="D270" s="194"/>
      <c r="E270" s="194"/>
      <c r="F270" s="194"/>
      <c r="G270" s="194"/>
      <c r="H270" s="194"/>
      <c r="I270" s="194"/>
      <c r="J270" s="194"/>
      <c r="K270" s="194"/>
      <c r="L270" s="194"/>
      <c r="M270" s="194"/>
      <c r="N270" s="194"/>
      <c r="O270" s="194"/>
      <c r="P270" s="194"/>
      <c r="Q270" s="194"/>
      <c r="R270" s="194"/>
      <c r="S270" s="194"/>
      <c r="T270" s="194"/>
      <c r="U270" s="194"/>
      <c r="V270" s="194"/>
      <c r="W270" s="194"/>
      <c r="X270" s="194"/>
      <c r="Y270" s="194"/>
      <c r="Z270" s="194"/>
      <c r="AA270" s="194"/>
      <c r="AB270" s="194"/>
    </row>
    <row r="271" spans="2:28" ht="14.25" customHeight="1">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c r="AA271" s="194"/>
      <c r="AB271" s="194"/>
    </row>
    <row r="272" spans="2:28" ht="14.25" customHeight="1">
      <c r="B272" s="194"/>
      <c r="C272" s="194"/>
      <c r="D272" s="194"/>
      <c r="E272" s="194"/>
      <c r="F272" s="194"/>
      <c r="G272" s="194"/>
      <c r="H272" s="194"/>
      <c r="I272" s="194"/>
      <c r="J272" s="194"/>
      <c r="K272" s="194"/>
      <c r="L272" s="194"/>
      <c r="M272" s="194"/>
      <c r="N272" s="194"/>
      <c r="O272" s="194"/>
      <c r="P272" s="194"/>
      <c r="Q272" s="194"/>
      <c r="R272" s="194"/>
      <c r="S272" s="194"/>
      <c r="T272" s="194"/>
      <c r="U272" s="194"/>
      <c r="V272" s="194"/>
      <c r="W272" s="194"/>
      <c r="X272" s="194"/>
      <c r="Y272" s="194"/>
      <c r="Z272" s="194"/>
      <c r="AA272" s="194"/>
      <c r="AB272" s="194"/>
    </row>
    <row r="273" spans="2:28" ht="14.25" customHeight="1">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row>
    <row r="274" spans="2:28" ht="14.25" customHeight="1">
      <c r="B274" s="194"/>
      <c r="C274" s="194"/>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row>
    <row r="275" spans="2:28" ht="14.25" customHeight="1">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row>
    <row r="276" spans="2:28" ht="14.25" customHeight="1">
      <c r="B276" s="194"/>
      <c r="C276" s="194"/>
      <c r="D276" s="194"/>
      <c r="E276" s="194"/>
      <c r="F276" s="194"/>
      <c r="G276" s="194"/>
      <c r="H276" s="194"/>
      <c r="I276" s="194"/>
      <c r="J276" s="194"/>
      <c r="K276" s="194"/>
      <c r="L276" s="194"/>
      <c r="M276" s="194"/>
      <c r="N276" s="194"/>
      <c r="O276" s="194"/>
      <c r="P276" s="194"/>
      <c r="Q276" s="194"/>
      <c r="R276" s="194"/>
      <c r="S276" s="194"/>
      <c r="T276" s="194"/>
      <c r="U276" s="194"/>
      <c r="V276" s="194"/>
      <c r="W276" s="194"/>
      <c r="X276" s="194"/>
      <c r="Y276" s="194"/>
      <c r="Z276" s="194"/>
      <c r="AA276" s="194"/>
      <c r="AB276" s="194"/>
    </row>
    <row r="277" spans="2:28" ht="14.25" customHeight="1">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row>
    <row r="278" spans="2:28" ht="14.25" customHeight="1">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c r="AA278" s="194"/>
      <c r="AB278" s="194"/>
    </row>
    <row r="279" spans="2:28" ht="14.25" customHeight="1">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c r="AA279" s="194"/>
      <c r="AB279" s="194"/>
    </row>
    <row r="280" spans="2:28" ht="14.25" customHeight="1">
      <c r="B280" s="194"/>
      <c r="C280" s="194"/>
      <c r="D280" s="194"/>
      <c r="E280" s="194"/>
      <c r="F280" s="194"/>
      <c r="G280" s="194"/>
      <c r="H280" s="194"/>
      <c r="I280" s="194"/>
      <c r="J280" s="194"/>
      <c r="K280" s="194"/>
      <c r="L280" s="194"/>
      <c r="M280" s="194"/>
      <c r="N280" s="194"/>
      <c r="O280" s="194"/>
      <c r="P280" s="194"/>
      <c r="Q280" s="194"/>
      <c r="R280" s="194"/>
      <c r="S280" s="194"/>
      <c r="T280" s="194"/>
      <c r="U280" s="194"/>
      <c r="V280" s="194"/>
      <c r="W280" s="194"/>
      <c r="X280" s="194"/>
      <c r="Y280" s="194"/>
      <c r="Z280" s="194"/>
      <c r="AA280" s="194"/>
      <c r="AB280" s="194"/>
    </row>
    <row r="281" spans="2:28" ht="14.25" customHeight="1">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c r="AA281" s="194"/>
      <c r="AB281" s="194"/>
    </row>
    <row r="282" spans="2:28" ht="14.25" customHeight="1">
      <c r="B282" s="194"/>
      <c r="C282" s="194"/>
      <c r="D282" s="194"/>
      <c r="E282" s="194"/>
      <c r="F282" s="194"/>
      <c r="G282" s="194"/>
      <c r="H282" s="194"/>
      <c r="I282" s="194"/>
      <c r="J282" s="194"/>
      <c r="K282" s="194"/>
      <c r="L282" s="194"/>
      <c r="M282" s="194"/>
      <c r="N282" s="194"/>
      <c r="O282" s="194"/>
      <c r="P282" s="194"/>
      <c r="Q282" s="194"/>
      <c r="R282" s="194"/>
      <c r="S282" s="194"/>
      <c r="T282" s="194"/>
      <c r="U282" s="194"/>
      <c r="V282" s="194"/>
      <c r="W282" s="194"/>
      <c r="X282" s="194"/>
      <c r="Y282" s="194"/>
      <c r="Z282" s="194"/>
      <c r="AA282" s="194"/>
      <c r="AB282" s="194"/>
    </row>
    <row r="283" spans="2:28" ht="14.25" customHeight="1">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c r="AA283" s="194"/>
      <c r="AB283" s="194"/>
    </row>
    <row r="284" spans="2:28" ht="14.25" customHeight="1">
      <c r="B284" s="194"/>
      <c r="C284" s="194"/>
      <c r="D284" s="194"/>
      <c r="E284" s="194"/>
      <c r="F284" s="194"/>
      <c r="G284" s="194"/>
      <c r="H284" s="194"/>
      <c r="I284" s="194"/>
      <c r="J284" s="194"/>
      <c r="K284" s="194"/>
      <c r="L284" s="194"/>
      <c r="M284" s="194"/>
      <c r="N284" s="194"/>
      <c r="O284" s="194"/>
      <c r="P284" s="194"/>
      <c r="Q284" s="194"/>
      <c r="R284" s="194"/>
      <c r="S284" s="194"/>
      <c r="T284" s="194"/>
      <c r="U284" s="194"/>
      <c r="V284" s="194"/>
      <c r="W284" s="194"/>
      <c r="X284" s="194"/>
      <c r="Y284" s="194"/>
      <c r="Z284" s="194"/>
      <c r="AA284" s="194"/>
      <c r="AB284" s="194"/>
    </row>
    <row r="285" spans="2:28" ht="14.25" customHeight="1">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c r="AA285" s="194"/>
      <c r="AB285" s="194"/>
    </row>
    <row r="286" spans="2:28" ht="14.25" customHeight="1">
      <c r="B286" s="194"/>
      <c r="C286" s="194"/>
      <c r="D286" s="194"/>
      <c r="E286" s="194"/>
      <c r="F286" s="194"/>
      <c r="G286" s="194"/>
      <c r="H286" s="194"/>
      <c r="I286" s="194"/>
      <c r="J286" s="194"/>
      <c r="K286" s="194"/>
      <c r="L286" s="194"/>
      <c r="M286" s="194"/>
      <c r="N286" s="194"/>
      <c r="O286" s="194"/>
      <c r="P286" s="194"/>
      <c r="Q286" s="194"/>
      <c r="R286" s="194"/>
      <c r="S286" s="194"/>
      <c r="T286" s="194"/>
      <c r="U286" s="194"/>
      <c r="V286" s="194"/>
      <c r="W286" s="194"/>
      <c r="X286" s="194"/>
      <c r="Y286" s="194"/>
      <c r="Z286" s="194"/>
      <c r="AA286" s="194"/>
      <c r="AB286" s="194"/>
    </row>
    <row r="287" spans="2:28" ht="14.25" customHeight="1">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c r="AA287" s="194"/>
      <c r="AB287" s="194"/>
    </row>
    <row r="288" spans="2:28" ht="14.25" customHeight="1">
      <c r="B288" s="194"/>
      <c r="C288" s="194"/>
      <c r="D288" s="194"/>
      <c r="E288" s="194"/>
      <c r="F288" s="194"/>
      <c r="G288" s="194"/>
      <c r="H288" s="194"/>
      <c r="I288" s="194"/>
      <c r="J288" s="194"/>
      <c r="K288" s="194"/>
      <c r="L288" s="194"/>
      <c r="M288" s="194"/>
      <c r="N288" s="194"/>
      <c r="O288" s="194"/>
      <c r="P288" s="194"/>
      <c r="Q288" s="194"/>
      <c r="R288" s="194"/>
      <c r="S288" s="194"/>
      <c r="T288" s="194"/>
      <c r="U288" s="194"/>
      <c r="V288" s="194"/>
      <c r="W288" s="194"/>
      <c r="X288" s="194"/>
      <c r="Y288" s="194"/>
      <c r="Z288" s="194"/>
      <c r="AA288" s="194"/>
      <c r="AB288" s="194"/>
    </row>
    <row r="289" spans="2:28" ht="14.25" customHeight="1">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c r="AA289" s="194"/>
      <c r="AB289" s="194"/>
    </row>
    <row r="290" spans="2:28" ht="14.25" customHeight="1">
      <c r="B290" s="194"/>
      <c r="C290" s="194"/>
      <c r="D290" s="194"/>
      <c r="E290" s="194"/>
      <c r="F290" s="194"/>
      <c r="G290" s="194"/>
      <c r="H290" s="194"/>
      <c r="I290" s="194"/>
      <c r="J290" s="194"/>
      <c r="K290" s="194"/>
      <c r="L290" s="194"/>
      <c r="M290" s="194"/>
      <c r="N290" s="194"/>
      <c r="O290" s="194"/>
      <c r="P290" s="194"/>
      <c r="Q290" s="194"/>
      <c r="R290" s="194"/>
      <c r="S290" s="194"/>
      <c r="T290" s="194"/>
      <c r="U290" s="194"/>
      <c r="V290" s="194"/>
      <c r="W290" s="194"/>
      <c r="X290" s="194"/>
      <c r="Y290" s="194"/>
      <c r="Z290" s="194"/>
      <c r="AA290" s="194"/>
      <c r="AB290" s="194"/>
    </row>
    <row r="291" spans="2:28" ht="14.25" customHeight="1">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c r="AA291" s="194"/>
      <c r="AB291" s="194"/>
    </row>
    <row r="292" spans="2:28" ht="14.25" customHeight="1">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row>
    <row r="293" spans="2:28" ht="14.25" customHeight="1">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c r="AA293" s="194"/>
      <c r="AB293" s="194"/>
    </row>
    <row r="294" spans="2:28" ht="14.25" customHeight="1">
      <c r="B294" s="194"/>
      <c r="C294" s="194"/>
      <c r="D294" s="194"/>
      <c r="E294" s="194"/>
      <c r="F294" s="194"/>
      <c r="G294" s="194"/>
      <c r="H294" s="194"/>
      <c r="I294" s="194"/>
      <c r="J294" s="194"/>
      <c r="K294" s="194"/>
      <c r="L294" s="194"/>
      <c r="M294" s="194"/>
      <c r="N294" s="194"/>
      <c r="O294" s="194"/>
      <c r="P294" s="194"/>
      <c r="Q294" s="194"/>
      <c r="R294" s="194"/>
      <c r="S294" s="194"/>
      <c r="T294" s="194"/>
      <c r="U294" s="194"/>
      <c r="V294" s="194"/>
      <c r="W294" s="194"/>
      <c r="X294" s="194"/>
      <c r="Y294" s="194"/>
      <c r="Z294" s="194"/>
      <c r="AA294" s="194"/>
      <c r="AB294" s="194"/>
    </row>
    <row r="295" spans="2:28" ht="14.25" customHeight="1">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c r="AA295" s="194"/>
      <c r="AB295" s="194"/>
    </row>
    <row r="296" spans="2:28" ht="14.25" customHeight="1">
      <c r="B296" s="194"/>
      <c r="C296" s="194"/>
      <c r="D296" s="194"/>
      <c r="E296" s="194"/>
      <c r="F296" s="194"/>
      <c r="G296" s="194"/>
      <c r="H296" s="194"/>
      <c r="I296" s="194"/>
      <c r="J296" s="194"/>
      <c r="K296" s="194"/>
      <c r="L296" s="194"/>
      <c r="M296" s="194"/>
      <c r="N296" s="194"/>
      <c r="O296" s="194"/>
      <c r="P296" s="194"/>
      <c r="Q296" s="194"/>
      <c r="R296" s="194"/>
      <c r="S296" s="194"/>
      <c r="T296" s="194"/>
      <c r="U296" s="194"/>
      <c r="V296" s="194"/>
      <c r="W296" s="194"/>
      <c r="X296" s="194"/>
      <c r="Y296" s="194"/>
      <c r="Z296" s="194"/>
      <c r="AA296" s="194"/>
      <c r="AB296" s="194"/>
    </row>
    <row r="297" spans="2:28" ht="14.25" customHeight="1">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row>
    <row r="298" spans="2:28" ht="14.25" customHeight="1">
      <c r="B298" s="194"/>
      <c r="C298" s="194"/>
      <c r="D298" s="194"/>
      <c r="E298" s="194"/>
      <c r="F298" s="194"/>
      <c r="G298" s="194"/>
      <c r="H298" s="194"/>
      <c r="I298" s="194"/>
      <c r="J298" s="194"/>
      <c r="K298" s="194"/>
      <c r="L298" s="194"/>
      <c r="M298" s="194"/>
      <c r="N298" s="194"/>
      <c r="O298" s="194"/>
      <c r="P298" s="194"/>
      <c r="Q298" s="194"/>
      <c r="R298" s="194"/>
      <c r="S298" s="194"/>
      <c r="T298" s="194"/>
      <c r="U298" s="194"/>
      <c r="V298" s="194"/>
      <c r="W298" s="194"/>
      <c r="X298" s="194"/>
      <c r="Y298" s="194"/>
      <c r="Z298" s="194"/>
      <c r="AA298" s="194"/>
      <c r="AB298" s="194"/>
    </row>
    <row r="299" spans="2:28" ht="14.25" customHeight="1">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c r="AA299" s="194"/>
      <c r="AB299" s="194"/>
    </row>
    <row r="300" spans="2:28" ht="14.25" customHeight="1">
      <c r="B300" s="194"/>
      <c r="C300" s="194"/>
      <c r="D300" s="194"/>
      <c r="E300" s="194"/>
      <c r="F300" s="194"/>
      <c r="G300" s="194"/>
      <c r="H300" s="194"/>
      <c r="I300" s="194"/>
      <c r="J300" s="194"/>
      <c r="K300" s="194"/>
      <c r="L300" s="194"/>
      <c r="M300" s="194"/>
      <c r="N300" s="194"/>
      <c r="O300" s="194"/>
      <c r="P300" s="194"/>
      <c r="Q300" s="194"/>
      <c r="R300" s="194"/>
      <c r="S300" s="194"/>
      <c r="T300" s="194"/>
      <c r="U300" s="194"/>
      <c r="V300" s="194"/>
      <c r="W300" s="194"/>
      <c r="X300" s="194"/>
      <c r="Y300" s="194"/>
      <c r="Z300" s="194"/>
      <c r="AA300" s="194"/>
      <c r="AB300" s="194"/>
    </row>
    <row r="301" spans="2:28" ht="14.25" customHeight="1">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c r="AA301" s="194"/>
      <c r="AB301" s="194"/>
    </row>
    <row r="302" spans="2:28" ht="14.25" customHeight="1">
      <c r="B302" s="194"/>
      <c r="C302" s="194"/>
      <c r="D302" s="194"/>
      <c r="E302" s="194"/>
      <c r="F302" s="194"/>
      <c r="G302" s="194"/>
      <c r="H302" s="194"/>
      <c r="I302" s="194"/>
      <c r="J302" s="194"/>
      <c r="K302" s="194"/>
      <c r="L302" s="194"/>
      <c r="M302" s="194"/>
      <c r="N302" s="194"/>
      <c r="O302" s="194"/>
      <c r="P302" s="194"/>
      <c r="Q302" s="194"/>
      <c r="R302" s="194"/>
      <c r="S302" s="194"/>
      <c r="T302" s="194"/>
      <c r="U302" s="194"/>
      <c r="V302" s="194"/>
      <c r="W302" s="194"/>
      <c r="X302" s="194"/>
      <c r="Y302" s="194"/>
      <c r="Z302" s="194"/>
      <c r="AA302" s="194"/>
      <c r="AB302" s="194"/>
    </row>
    <row r="303" spans="2:28" ht="14.25" customHeight="1">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c r="AA303" s="194"/>
      <c r="AB303" s="194"/>
    </row>
    <row r="304" spans="2:28" ht="14.25" customHeight="1">
      <c r="B304" s="194"/>
      <c r="C304" s="194"/>
      <c r="D304" s="194"/>
      <c r="E304" s="194"/>
      <c r="F304" s="194"/>
      <c r="G304" s="194"/>
      <c r="H304" s="194"/>
      <c r="I304" s="194"/>
      <c r="J304" s="194"/>
      <c r="K304" s="194"/>
      <c r="L304" s="194"/>
      <c r="M304" s="194"/>
      <c r="N304" s="194"/>
      <c r="O304" s="194"/>
      <c r="P304" s="194"/>
      <c r="Q304" s="194"/>
      <c r="R304" s="194"/>
      <c r="S304" s="194"/>
      <c r="T304" s="194"/>
      <c r="U304" s="194"/>
      <c r="V304" s="194"/>
      <c r="W304" s="194"/>
      <c r="X304" s="194"/>
      <c r="Y304" s="194"/>
      <c r="Z304" s="194"/>
      <c r="AA304" s="194"/>
      <c r="AB304" s="194"/>
    </row>
    <row r="305" spans="2:28" ht="14.25" customHeight="1">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c r="AA305" s="194"/>
      <c r="AB305" s="194"/>
    </row>
    <row r="306" spans="2:28" ht="14.25" customHeight="1">
      <c r="B306" s="194"/>
      <c r="C306" s="194"/>
      <c r="D306" s="194"/>
      <c r="E306" s="194"/>
      <c r="F306" s="194"/>
      <c r="G306" s="194"/>
      <c r="H306" s="194"/>
      <c r="I306" s="194"/>
      <c r="J306" s="194"/>
      <c r="K306" s="194"/>
      <c r="L306" s="194"/>
      <c r="M306" s="194"/>
      <c r="N306" s="194"/>
      <c r="O306" s="194"/>
      <c r="P306" s="194"/>
      <c r="Q306" s="194"/>
      <c r="R306" s="194"/>
      <c r="S306" s="194"/>
      <c r="T306" s="194"/>
      <c r="U306" s="194"/>
      <c r="V306" s="194"/>
      <c r="W306" s="194"/>
      <c r="X306" s="194"/>
      <c r="Y306" s="194"/>
      <c r="Z306" s="194"/>
      <c r="AA306" s="194"/>
      <c r="AB306" s="194"/>
    </row>
    <row r="307" spans="2:28" ht="14.25" customHeight="1">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c r="AA307" s="194"/>
      <c r="AB307" s="194"/>
    </row>
    <row r="308" spans="2:28" ht="14.25" customHeight="1">
      <c r="B308" s="194"/>
      <c r="C308" s="194"/>
      <c r="D308" s="194"/>
      <c r="E308" s="194"/>
      <c r="F308" s="194"/>
      <c r="G308" s="194"/>
      <c r="H308" s="194"/>
      <c r="I308" s="194"/>
      <c r="J308" s="194"/>
      <c r="K308" s="194"/>
      <c r="L308" s="194"/>
      <c r="M308" s="194"/>
      <c r="N308" s="194"/>
      <c r="O308" s="194"/>
      <c r="P308" s="194"/>
      <c r="Q308" s="194"/>
      <c r="R308" s="194"/>
      <c r="S308" s="194"/>
      <c r="T308" s="194"/>
      <c r="U308" s="194"/>
      <c r="V308" s="194"/>
      <c r="W308" s="194"/>
      <c r="X308" s="194"/>
      <c r="Y308" s="194"/>
      <c r="Z308" s="194"/>
      <c r="AA308" s="194"/>
      <c r="AB308" s="194"/>
    </row>
    <row r="309" spans="2:28" ht="14.25" customHeight="1">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c r="AA309" s="194"/>
      <c r="AB309" s="194"/>
    </row>
    <row r="310" spans="2:28" ht="14.25" customHeight="1">
      <c r="B310" s="194"/>
      <c r="C310" s="194"/>
      <c r="D310" s="194"/>
      <c r="E310" s="194"/>
      <c r="F310" s="194"/>
      <c r="G310" s="194"/>
      <c r="H310" s="194"/>
      <c r="I310" s="194"/>
      <c r="J310" s="194"/>
      <c r="K310" s="194"/>
      <c r="L310" s="194"/>
      <c r="M310" s="194"/>
      <c r="N310" s="194"/>
      <c r="O310" s="194"/>
      <c r="P310" s="194"/>
      <c r="Q310" s="194"/>
      <c r="R310" s="194"/>
      <c r="S310" s="194"/>
      <c r="T310" s="194"/>
      <c r="U310" s="194"/>
      <c r="V310" s="194"/>
      <c r="W310" s="194"/>
      <c r="X310" s="194"/>
      <c r="Y310" s="194"/>
      <c r="Z310" s="194"/>
      <c r="AA310" s="194"/>
      <c r="AB310" s="194"/>
    </row>
    <row r="311" spans="2:28" ht="14.25" customHeight="1">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c r="AA311" s="194"/>
      <c r="AB311" s="194"/>
    </row>
    <row r="312" spans="2:28" ht="14.25" customHeight="1">
      <c r="B312" s="194"/>
      <c r="C312" s="194"/>
      <c r="D312" s="194"/>
      <c r="E312" s="194"/>
      <c r="F312" s="194"/>
      <c r="G312" s="194"/>
      <c r="H312" s="194"/>
      <c r="I312" s="194"/>
      <c r="J312" s="194"/>
      <c r="K312" s="194"/>
      <c r="L312" s="194"/>
      <c r="M312" s="194"/>
      <c r="N312" s="194"/>
      <c r="O312" s="194"/>
      <c r="P312" s="194"/>
      <c r="Q312" s="194"/>
      <c r="R312" s="194"/>
      <c r="S312" s="194"/>
      <c r="T312" s="194"/>
      <c r="U312" s="194"/>
      <c r="V312" s="194"/>
      <c r="W312" s="194"/>
      <c r="X312" s="194"/>
      <c r="Y312" s="194"/>
      <c r="Z312" s="194"/>
      <c r="AA312" s="194"/>
      <c r="AB312" s="194"/>
    </row>
    <row r="313" spans="2:28" ht="14.25" customHeight="1">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c r="AA313" s="194"/>
      <c r="AB313" s="194"/>
    </row>
    <row r="314" spans="2:28" ht="14.25" customHeight="1">
      <c r="B314" s="194"/>
      <c r="C314" s="194"/>
      <c r="D314" s="194"/>
      <c r="E314" s="194"/>
      <c r="F314" s="194"/>
      <c r="G314" s="194"/>
      <c r="H314" s="194"/>
      <c r="I314" s="194"/>
      <c r="J314" s="194"/>
      <c r="K314" s="194"/>
      <c r="L314" s="194"/>
      <c r="M314" s="194"/>
      <c r="N314" s="194"/>
      <c r="O314" s="194"/>
      <c r="P314" s="194"/>
      <c r="Q314" s="194"/>
      <c r="R314" s="194"/>
      <c r="S314" s="194"/>
      <c r="T314" s="194"/>
      <c r="U314" s="194"/>
      <c r="V314" s="194"/>
      <c r="W314" s="194"/>
      <c r="X314" s="194"/>
      <c r="Y314" s="194"/>
      <c r="Z314" s="194"/>
      <c r="AA314" s="194"/>
      <c r="AB314" s="194"/>
    </row>
    <row r="315" spans="2:28" ht="14.25" customHeight="1">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c r="AA315" s="194"/>
      <c r="AB315" s="194"/>
    </row>
    <row r="316" spans="2:28" ht="14.25" customHeight="1">
      <c r="B316" s="194"/>
      <c r="C316" s="194"/>
      <c r="D316" s="194"/>
      <c r="E316" s="194"/>
      <c r="F316" s="194"/>
      <c r="G316" s="194"/>
      <c r="H316" s="194"/>
      <c r="I316" s="194"/>
      <c r="J316" s="194"/>
      <c r="K316" s="194"/>
      <c r="L316" s="194"/>
      <c r="M316" s="194"/>
      <c r="N316" s="194"/>
      <c r="O316" s="194"/>
      <c r="P316" s="194"/>
      <c r="Q316" s="194"/>
      <c r="R316" s="194"/>
      <c r="S316" s="194"/>
      <c r="T316" s="194"/>
      <c r="U316" s="194"/>
      <c r="V316" s="194"/>
      <c r="W316" s="194"/>
      <c r="X316" s="194"/>
      <c r="Y316" s="194"/>
      <c r="Z316" s="194"/>
      <c r="AA316" s="194"/>
      <c r="AB316" s="194"/>
    </row>
    <row r="317" spans="2:28" ht="14.25" customHeight="1">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c r="AA317" s="194"/>
      <c r="AB317" s="194"/>
    </row>
    <row r="318" spans="2:28" ht="14.25" customHeight="1">
      <c r="B318" s="194"/>
      <c r="C318" s="194"/>
      <c r="D318" s="194"/>
      <c r="E318" s="194"/>
      <c r="F318" s="194"/>
      <c r="G318" s="194"/>
      <c r="H318" s="194"/>
      <c r="I318" s="194"/>
      <c r="J318" s="194"/>
      <c r="K318" s="194"/>
      <c r="L318" s="194"/>
      <c r="M318" s="194"/>
      <c r="N318" s="194"/>
      <c r="O318" s="194"/>
      <c r="P318" s="194"/>
      <c r="Q318" s="194"/>
      <c r="R318" s="194"/>
      <c r="S318" s="194"/>
      <c r="T318" s="194"/>
      <c r="U318" s="194"/>
      <c r="V318" s="194"/>
      <c r="W318" s="194"/>
      <c r="X318" s="194"/>
      <c r="Y318" s="194"/>
      <c r="Z318" s="194"/>
      <c r="AA318" s="194"/>
      <c r="AB318" s="194"/>
    </row>
    <row r="319" spans="2:28" ht="14.25" customHeight="1">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c r="AA319" s="194"/>
      <c r="AB319" s="194"/>
    </row>
    <row r="320" spans="2:28" ht="14.25" customHeight="1">
      <c r="B320" s="194"/>
      <c r="C320" s="194"/>
      <c r="D320" s="194"/>
      <c r="E320" s="194"/>
      <c r="F320" s="194"/>
      <c r="G320" s="194"/>
      <c r="H320" s="194"/>
      <c r="I320" s="194"/>
      <c r="J320" s="194"/>
      <c r="K320" s="194"/>
      <c r="L320" s="194"/>
      <c r="M320" s="194"/>
      <c r="N320" s="194"/>
      <c r="O320" s="194"/>
      <c r="P320" s="194"/>
      <c r="Q320" s="194"/>
      <c r="R320" s="194"/>
      <c r="S320" s="194"/>
      <c r="T320" s="194"/>
      <c r="U320" s="194"/>
      <c r="V320" s="194"/>
      <c r="W320" s="194"/>
      <c r="X320" s="194"/>
      <c r="Y320" s="194"/>
      <c r="Z320" s="194"/>
      <c r="AA320" s="194"/>
      <c r="AB320" s="194"/>
    </row>
    <row r="321" spans="2:28" ht="14.25" customHeight="1">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c r="AA321" s="194"/>
      <c r="AB321" s="194"/>
    </row>
    <row r="322" spans="2:28" ht="14.25" customHeight="1">
      <c r="B322" s="194"/>
      <c r="C322" s="194"/>
      <c r="D322" s="194"/>
      <c r="E322" s="194"/>
      <c r="F322" s="194"/>
      <c r="G322" s="194"/>
      <c r="H322" s="194"/>
      <c r="I322" s="194"/>
      <c r="J322" s="194"/>
      <c r="K322" s="194"/>
      <c r="L322" s="194"/>
      <c r="M322" s="194"/>
      <c r="N322" s="194"/>
      <c r="O322" s="194"/>
      <c r="P322" s="194"/>
      <c r="Q322" s="194"/>
      <c r="R322" s="194"/>
      <c r="S322" s="194"/>
      <c r="T322" s="194"/>
      <c r="U322" s="194"/>
      <c r="V322" s="194"/>
      <c r="W322" s="194"/>
      <c r="X322" s="194"/>
      <c r="Y322" s="194"/>
      <c r="Z322" s="194"/>
      <c r="AA322" s="194"/>
      <c r="AB322" s="194"/>
    </row>
    <row r="323" spans="2:28" ht="14.25" customHeight="1">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c r="AA323" s="194"/>
      <c r="AB323" s="194"/>
    </row>
    <row r="324" spans="2:28" ht="14.25" customHeight="1">
      <c r="B324" s="194"/>
      <c r="C324" s="194"/>
      <c r="D324" s="194"/>
      <c r="E324" s="194"/>
      <c r="F324" s="194"/>
      <c r="G324" s="194"/>
      <c r="H324" s="194"/>
      <c r="I324" s="194"/>
      <c r="J324" s="194"/>
      <c r="K324" s="194"/>
      <c r="L324" s="194"/>
      <c r="M324" s="194"/>
      <c r="N324" s="194"/>
      <c r="O324" s="194"/>
      <c r="P324" s="194"/>
      <c r="Q324" s="194"/>
      <c r="R324" s="194"/>
      <c r="S324" s="194"/>
      <c r="T324" s="194"/>
      <c r="U324" s="194"/>
      <c r="V324" s="194"/>
      <c r="W324" s="194"/>
      <c r="X324" s="194"/>
      <c r="Y324" s="194"/>
      <c r="Z324" s="194"/>
      <c r="AA324" s="194"/>
      <c r="AB324" s="194"/>
    </row>
    <row r="325" spans="2:28" ht="14.25" customHeight="1">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c r="AA325" s="194"/>
      <c r="AB325" s="194"/>
    </row>
    <row r="326" spans="2:28" ht="14.25" customHeight="1">
      <c r="B326" s="194"/>
      <c r="C326" s="194"/>
      <c r="D326" s="194"/>
      <c r="E326" s="194"/>
      <c r="F326" s="194"/>
      <c r="G326" s="194"/>
      <c r="H326" s="194"/>
      <c r="I326" s="194"/>
      <c r="J326" s="194"/>
      <c r="K326" s="194"/>
      <c r="L326" s="194"/>
      <c r="M326" s="194"/>
      <c r="N326" s="194"/>
      <c r="O326" s="194"/>
      <c r="P326" s="194"/>
      <c r="Q326" s="194"/>
      <c r="R326" s="194"/>
      <c r="S326" s="194"/>
      <c r="T326" s="194"/>
      <c r="U326" s="194"/>
      <c r="V326" s="194"/>
      <c r="W326" s="194"/>
      <c r="X326" s="194"/>
      <c r="Y326" s="194"/>
      <c r="Z326" s="194"/>
      <c r="AA326" s="194"/>
      <c r="AB326" s="194"/>
    </row>
    <row r="327" spans="2:28" ht="14.25" customHeight="1">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194"/>
    </row>
    <row r="328" spans="2:28" ht="14.25" customHeight="1">
      <c r="B328" s="194"/>
      <c r="C328" s="194"/>
      <c r="D328" s="194"/>
      <c r="E328" s="194"/>
      <c r="F328" s="194"/>
      <c r="G328" s="194"/>
      <c r="H328" s="194"/>
      <c r="I328" s="194"/>
      <c r="J328" s="194"/>
      <c r="K328" s="194"/>
      <c r="L328" s="194"/>
      <c r="M328" s="194"/>
      <c r="N328" s="194"/>
      <c r="O328" s="194"/>
      <c r="P328" s="194"/>
      <c r="Q328" s="194"/>
      <c r="R328" s="194"/>
      <c r="S328" s="194"/>
      <c r="T328" s="194"/>
      <c r="U328" s="194"/>
      <c r="V328" s="194"/>
      <c r="W328" s="194"/>
      <c r="X328" s="194"/>
      <c r="Y328" s="194"/>
      <c r="Z328" s="194"/>
      <c r="AA328" s="194"/>
      <c r="AB328" s="194"/>
    </row>
    <row r="329" spans="2:28" ht="14.25" customHeight="1">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c r="AA329" s="194"/>
      <c r="AB329" s="194"/>
    </row>
    <row r="330" spans="2:28" ht="14.25" customHeight="1">
      <c r="B330" s="194"/>
      <c r="C330" s="194"/>
      <c r="D330" s="194"/>
      <c r="E330" s="194"/>
      <c r="F330" s="194"/>
      <c r="G330" s="194"/>
      <c r="H330" s="194"/>
      <c r="I330" s="194"/>
      <c r="J330" s="194"/>
      <c r="K330" s="194"/>
      <c r="L330" s="194"/>
      <c r="M330" s="194"/>
      <c r="N330" s="194"/>
      <c r="O330" s="194"/>
      <c r="P330" s="194"/>
      <c r="Q330" s="194"/>
      <c r="R330" s="194"/>
      <c r="S330" s="194"/>
      <c r="T330" s="194"/>
      <c r="U330" s="194"/>
      <c r="V330" s="194"/>
      <c r="W330" s="194"/>
      <c r="X330" s="194"/>
      <c r="Y330" s="194"/>
      <c r="Z330" s="194"/>
      <c r="AA330" s="194"/>
      <c r="AB330" s="194"/>
    </row>
    <row r="331" spans="2:28" ht="14.25" customHeight="1">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c r="AA331" s="194"/>
      <c r="AB331" s="194"/>
    </row>
    <row r="332" spans="2:28" ht="14.25" customHeight="1">
      <c r="B332" s="194"/>
      <c r="C332" s="194"/>
      <c r="D332" s="194"/>
      <c r="E332" s="194"/>
      <c r="F332" s="194"/>
      <c r="G332" s="194"/>
      <c r="H332" s="194"/>
      <c r="I332" s="194"/>
      <c r="J332" s="194"/>
      <c r="K332" s="194"/>
      <c r="L332" s="194"/>
      <c r="M332" s="194"/>
      <c r="N332" s="194"/>
      <c r="O332" s="194"/>
      <c r="P332" s="194"/>
      <c r="Q332" s="194"/>
      <c r="R332" s="194"/>
      <c r="S332" s="194"/>
      <c r="T332" s="194"/>
      <c r="U332" s="194"/>
      <c r="V332" s="194"/>
      <c r="W332" s="194"/>
      <c r="X332" s="194"/>
      <c r="Y332" s="194"/>
      <c r="Z332" s="194"/>
      <c r="AA332" s="194"/>
      <c r="AB332" s="194"/>
    </row>
    <row r="333" spans="2:28" ht="14.25" customHeight="1">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c r="AA333" s="194"/>
      <c r="AB333" s="194"/>
    </row>
    <row r="334" spans="2:28" ht="14.25" customHeight="1">
      <c r="B334" s="194"/>
      <c r="C334" s="194"/>
      <c r="D334" s="194"/>
      <c r="E334" s="194"/>
      <c r="F334" s="194"/>
      <c r="G334" s="194"/>
      <c r="H334" s="194"/>
      <c r="I334" s="194"/>
      <c r="J334" s="194"/>
      <c r="K334" s="194"/>
      <c r="L334" s="194"/>
      <c r="M334" s="194"/>
      <c r="N334" s="194"/>
      <c r="O334" s="194"/>
      <c r="P334" s="194"/>
      <c r="Q334" s="194"/>
      <c r="R334" s="194"/>
      <c r="S334" s="194"/>
      <c r="T334" s="194"/>
      <c r="U334" s="194"/>
      <c r="V334" s="194"/>
      <c r="W334" s="194"/>
      <c r="X334" s="194"/>
      <c r="Y334" s="194"/>
      <c r="Z334" s="194"/>
      <c r="AA334" s="194"/>
      <c r="AB334" s="194"/>
    </row>
    <row r="335" spans="2:28" ht="14.25" customHeight="1">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194"/>
    </row>
    <row r="336" spans="2:28" ht="14.25" customHeight="1">
      <c r="B336" s="194"/>
      <c r="C336" s="194"/>
      <c r="D336" s="194"/>
      <c r="E336" s="194"/>
      <c r="F336" s="194"/>
      <c r="G336" s="194"/>
      <c r="H336" s="194"/>
      <c r="I336" s="194"/>
      <c r="J336" s="194"/>
      <c r="K336" s="194"/>
      <c r="L336" s="194"/>
      <c r="M336" s="194"/>
      <c r="N336" s="194"/>
      <c r="O336" s="194"/>
      <c r="P336" s="194"/>
      <c r="Q336" s="194"/>
      <c r="R336" s="194"/>
      <c r="S336" s="194"/>
      <c r="T336" s="194"/>
      <c r="U336" s="194"/>
      <c r="V336" s="194"/>
      <c r="W336" s="194"/>
      <c r="X336" s="194"/>
      <c r="Y336" s="194"/>
      <c r="Z336" s="194"/>
      <c r="AA336" s="194"/>
      <c r="AB336" s="194"/>
    </row>
    <row r="337" spans="2:28" ht="14.25" customHeight="1">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row>
    <row r="338" spans="2:28" ht="14.25" customHeight="1">
      <c r="B338" s="194"/>
      <c r="C338" s="194"/>
      <c r="D338" s="194"/>
      <c r="E338" s="194"/>
      <c r="F338" s="194"/>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row>
    <row r="339" spans="2:28" ht="14.25" customHeight="1">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c r="AA339" s="194"/>
      <c r="AB339" s="194"/>
    </row>
    <row r="340" spans="2:28" ht="14.25" customHeight="1">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c r="AA340" s="194"/>
      <c r="AB340" s="194"/>
    </row>
    <row r="341" spans="2:28" ht="14.25" customHeight="1">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c r="AA341" s="194"/>
      <c r="AB341" s="194"/>
    </row>
    <row r="342" spans="2:28" ht="14.25" customHeight="1">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c r="AA342" s="194"/>
      <c r="AB342" s="194"/>
    </row>
    <row r="343" spans="2:28" ht="14.25" customHeight="1">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c r="AA343" s="194"/>
      <c r="AB343" s="194"/>
    </row>
    <row r="344" spans="2:28" ht="14.25" customHeight="1">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c r="AA344" s="194"/>
      <c r="AB344" s="194"/>
    </row>
    <row r="345" spans="2:28" ht="14.25" customHeight="1">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c r="AA345" s="194"/>
      <c r="AB345" s="194"/>
    </row>
    <row r="346" spans="2:28" ht="14.25" customHeight="1">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c r="AA346" s="194"/>
      <c r="AB346" s="194"/>
    </row>
    <row r="347" spans="2:28" ht="14.25" customHeight="1">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c r="AA347" s="194"/>
      <c r="AB347" s="194"/>
    </row>
    <row r="348" spans="2:28" ht="14.25" customHeight="1">
      <c r="B348" s="194"/>
      <c r="C348" s="194"/>
      <c r="D348" s="194"/>
      <c r="E348" s="194"/>
      <c r="F348" s="194"/>
      <c r="G348" s="194"/>
      <c r="H348" s="194"/>
      <c r="I348" s="194"/>
      <c r="J348" s="194"/>
      <c r="K348" s="194"/>
      <c r="L348" s="194"/>
      <c r="M348" s="194"/>
      <c r="N348" s="194"/>
      <c r="O348" s="194"/>
      <c r="P348" s="194"/>
      <c r="Q348" s="194"/>
      <c r="R348" s="194"/>
      <c r="S348" s="194"/>
      <c r="T348" s="194"/>
      <c r="U348" s="194"/>
      <c r="V348" s="194"/>
      <c r="W348" s="194"/>
      <c r="X348" s="194"/>
      <c r="Y348" s="194"/>
      <c r="Z348" s="194"/>
      <c r="AA348" s="194"/>
      <c r="AB348" s="194"/>
    </row>
    <row r="349" spans="2:28" ht="14.25" customHeight="1">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c r="AA349" s="194"/>
      <c r="AB349" s="194"/>
    </row>
    <row r="350" spans="2:28" ht="14.25" customHeight="1">
      <c r="B350" s="194"/>
      <c r="C350" s="194"/>
      <c r="D350" s="194"/>
      <c r="E350" s="194"/>
      <c r="F350" s="194"/>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row>
    <row r="351" spans="2:28" ht="14.25" customHeight="1">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c r="AA351" s="194"/>
      <c r="AB351" s="194"/>
    </row>
    <row r="352" spans="2:28" ht="14.25" customHeight="1">
      <c r="B352" s="194"/>
      <c r="C352" s="194"/>
      <c r="D352" s="194"/>
      <c r="E352" s="194"/>
      <c r="F352" s="194"/>
      <c r="G352" s="194"/>
      <c r="H352" s="194"/>
      <c r="I352" s="194"/>
      <c r="J352" s="194"/>
      <c r="K352" s="194"/>
      <c r="L352" s="194"/>
      <c r="M352" s="194"/>
      <c r="N352" s="194"/>
      <c r="O352" s="194"/>
      <c r="P352" s="194"/>
      <c r="Q352" s="194"/>
      <c r="R352" s="194"/>
      <c r="S352" s="194"/>
      <c r="T352" s="194"/>
      <c r="U352" s="194"/>
      <c r="V352" s="194"/>
      <c r="W352" s="194"/>
      <c r="X352" s="194"/>
      <c r="Y352" s="194"/>
      <c r="Z352" s="194"/>
      <c r="AA352" s="194"/>
      <c r="AB352" s="194"/>
    </row>
    <row r="353" spans="2:28" ht="14.25" customHeight="1">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c r="AA353" s="194"/>
      <c r="AB353" s="194"/>
    </row>
    <row r="354" spans="2:28" ht="14.25" customHeight="1">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c r="AA354" s="194"/>
      <c r="AB354" s="194"/>
    </row>
    <row r="355" spans="2:28" ht="14.25" customHeight="1">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c r="AA355" s="194"/>
      <c r="AB355" s="194"/>
    </row>
    <row r="356" spans="2:28" ht="14.25" customHeight="1">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c r="AA356" s="194"/>
      <c r="AB356" s="194"/>
    </row>
    <row r="357" spans="2:28" ht="14.25" customHeight="1">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c r="AA357" s="194"/>
      <c r="AB357" s="194"/>
    </row>
    <row r="358" spans="2:28" ht="14.25" customHeight="1">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c r="AA358" s="194"/>
      <c r="AB358" s="194"/>
    </row>
    <row r="359" spans="2:28" ht="14.25" customHeight="1">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c r="AA359" s="194"/>
      <c r="AB359" s="194"/>
    </row>
    <row r="360" spans="2:28" ht="14.25" customHeight="1">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c r="AA360" s="194"/>
      <c r="AB360" s="194"/>
    </row>
    <row r="361" spans="2:28" ht="14.25" customHeight="1">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c r="AA361" s="194"/>
      <c r="AB361" s="194"/>
    </row>
    <row r="362" spans="2:28" ht="14.25" customHeight="1">
      <c r="B362" s="194"/>
      <c r="C362" s="194"/>
      <c r="D362" s="194"/>
      <c r="E362" s="194"/>
      <c r="F362" s="194"/>
      <c r="G362" s="194"/>
      <c r="H362" s="194"/>
      <c r="I362" s="194"/>
      <c r="J362" s="194"/>
      <c r="K362" s="194"/>
      <c r="L362" s="194"/>
      <c r="M362" s="194"/>
      <c r="N362" s="194"/>
      <c r="O362" s="194"/>
      <c r="P362" s="194"/>
      <c r="Q362" s="194"/>
      <c r="R362" s="194"/>
      <c r="S362" s="194"/>
      <c r="T362" s="194"/>
      <c r="U362" s="194"/>
      <c r="V362" s="194"/>
      <c r="W362" s="194"/>
      <c r="X362" s="194"/>
      <c r="Y362" s="194"/>
      <c r="Z362" s="194"/>
      <c r="AA362" s="194"/>
      <c r="AB362" s="194"/>
    </row>
    <row r="363" spans="2:28" ht="14.25" customHeight="1">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c r="AA363" s="194"/>
      <c r="AB363" s="194"/>
    </row>
    <row r="364" spans="2:28" ht="14.25" customHeight="1">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c r="AA364" s="194"/>
      <c r="AB364" s="194"/>
    </row>
    <row r="365" spans="2:28" ht="14.25" customHeight="1">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c r="AA365" s="194"/>
      <c r="AB365" s="194"/>
    </row>
    <row r="366" spans="2:28" ht="14.25" customHeight="1">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c r="AA366" s="194"/>
      <c r="AB366" s="194"/>
    </row>
    <row r="367" spans="2:28" ht="14.25" customHeight="1">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c r="AA367" s="194"/>
      <c r="AB367" s="194"/>
    </row>
    <row r="368" spans="2:28" ht="14.25" customHeight="1">
      <c r="B368" s="194"/>
      <c r="C368" s="194"/>
      <c r="D368" s="194"/>
      <c r="E368" s="194"/>
      <c r="F368" s="194"/>
      <c r="G368" s="194"/>
      <c r="H368" s="194"/>
      <c r="I368" s="194"/>
      <c r="J368" s="194"/>
      <c r="K368" s="194"/>
      <c r="L368" s="194"/>
      <c r="M368" s="194"/>
      <c r="N368" s="194"/>
      <c r="O368" s="194"/>
      <c r="P368" s="194"/>
      <c r="Q368" s="194"/>
      <c r="R368" s="194"/>
      <c r="S368" s="194"/>
      <c r="T368" s="194"/>
      <c r="U368" s="194"/>
      <c r="V368" s="194"/>
      <c r="W368" s="194"/>
      <c r="X368" s="194"/>
      <c r="Y368" s="194"/>
      <c r="Z368" s="194"/>
      <c r="AA368" s="194"/>
      <c r="AB368" s="194"/>
    </row>
    <row r="369" spans="2:28" ht="14.25" customHeight="1">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c r="AA369" s="194"/>
      <c r="AB369" s="194"/>
    </row>
    <row r="370" spans="2:28" ht="14.25" customHeight="1">
      <c r="B370" s="194"/>
      <c r="C370" s="194"/>
      <c r="D370" s="194"/>
      <c r="E370" s="194"/>
      <c r="F370" s="194"/>
      <c r="G370" s="194"/>
      <c r="H370" s="194"/>
      <c r="I370" s="194"/>
      <c r="J370" s="194"/>
      <c r="K370" s="194"/>
      <c r="L370" s="194"/>
      <c r="M370" s="194"/>
      <c r="N370" s="194"/>
      <c r="O370" s="194"/>
      <c r="P370" s="194"/>
      <c r="Q370" s="194"/>
      <c r="R370" s="194"/>
      <c r="S370" s="194"/>
      <c r="T370" s="194"/>
      <c r="U370" s="194"/>
      <c r="V370" s="194"/>
      <c r="W370" s="194"/>
      <c r="X370" s="194"/>
      <c r="Y370" s="194"/>
      <c r="Z370" s="194"/>
      <c r="AA370" s="194"/>
      <c r="AB370" s="194"/>
    </row>
    <row r="371" spans="2:28" ht="14.25" customHeight="1">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c r="AA371" s="194"/>
      <c r="AB371" s="194"/>
    </row>
    <row r="372" spans="2:28" ht="14.25" customHeight="1">
      <c r="B372" s="194"/>
      <c r="C372" s="194"/>
      <c r="D372" s="194"/>
      <c r="E372" s="194"/>
      <c r="F372" s="194"/>
      <c r="G372" s="194"/>
      <c r="H372" s="194"/>
      <c r="I372" s="194"/>
      <c r="J372" s="194"/>
      <c r="K372" s="194"/>
      <c r="L372" s="194"/>
      <c r="M372" s="194"/>
      <c r="N372" s="194"/>
      <c r="O372" s="194"/>
      <c r="P372" s="194"/>
      <c r="Q372" s="194"/>
      <c r="R372" s="194"/>
      <c r="S372" s="194"/>
      <c r="T372" s="194"/>
      <c r="U372" s="194"/>
      <c r="V372" s="194"/>
      <c r="W372" s="194"/>
      <c r="X372" s="194"/>
      <c r="Y372" s="194"/>
      <c r="Z372" s="194"/>
      <c r="AA372" s="194"/>
      <c r="AB372" s="194"/>
    </row>
    <row r="373" spans="2:28" ht="14.25" customHeight="1">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c r="AA373" s="194"/>
      <c r="AB373" s="194"/>
    </row>
    <row r="374" spans="2:28" ht="14.25" customHeight="1">
      <c r="B374" s="194"/>
      <c r="C374" s="194"/>
      <c r="D374" s="194"/>
      <c r="E374" s="194"/>
      <c r="F374" s="194"/>
      <c r="G374" s="194"/>
      <c r="H374" s="194"/>
      <c r="I374" s="194"/>
      <c r="J374" s="194"/>
      <c r="K374" s="194"/>
      <c r="L374" s="194"/>
      <c r="M374" s="194"/>
      <c r="N374" s="194"/>
      <c r="O374" s="194"/>
      <c r="P374" s="194"/>
      <c r="Q374" s="194"/>
      <c r="R374" s="194"/>
      <c r="S374" s="194"/>
      <c r="T374" s="194"/>
      <c r="U374" s="194"/>
      <c r="V374" s="194"/>
      <c r="W374" s="194"/>
      <c r="X374" s="194"/>
      <c r="Y374" s="194"/>
      <c r="Z374" s="194"/>
      <c r="AA374" s="194"/>
      <c r="AB374" s="194"/>
    </row>
    <row r="375" spans="2:28" ht="14.25" customHeight="1">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c r="AA375" s="194"/>
      <c r="AB375" s="194"/>
    </row>
    <row r="376" spans="2:28" ht="14.25" customHeight="1">
      <c r="B376" s="194"/>
      <c r="C376" s="194"/>
      <c r="D376" s="194"/>
      <c r="E376" s="194"/>
      <c r="F376" s="194"/>
      <c r="G376" s="194"/>
      <c r="H376" s="194"/>
      <c r="I376" s="194"/>
      <c r="J376" s="194"/>
      <c r="K376" s="194"/>
      <c r="L376" s="194"/>
      <c r="M376" s="194"/>
      <c r="N376" s="194"/>
      <c r="O376" s="194"/>
      <c r="P376" s="194"/>
      <c r="Q376" s="194"/>
      <c r="R376" s="194"/>
      <c r="S376" s="194"/>
      <c r="T376" s="194"/>
      <c r="U376" s="194"/>
      <c r="V376" s="194"/>
      <c r="W376" s="194"/>
      <c r="X376" s="194"/>
      <c r="Y376" s="194"/>
      <c r="Z376" s="194"/>
      <c r="AA376" s="194"/>
      <c r="AB376" s="194"/>
    </row>
    <row r="377" spans="2:28" ht="14.25" customHeight="1">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c r="AA377" s="194"/>
      <c r="AB377" s="194"/>
    </row>
    <row r="378" spans="2:28" ht="14.25" customHeight="1">
      <c r="B378" s="194"/>
      <c r="C378" s="194"/>
      <c r="D378" s="194"/>
      <c r="E378" s="194"/>
      <c r="F378" s="194"/>
      <c r="G378" s="194"/>
      <c r="H378" s="194"/>
      <c r="I378" s="194"/>
      <c r="J378" s="194"/>
      <c r="K378" s="194"/>
      <c r="L378" s="194"/>
      <c r="M378" s="194"/>
      <c r="N378" s="194"/>
      <c r="O378" s="194"/>
      <c r="P378" s="194"/>
      <c r="Q378" s="194"/>
      <c r="R378" s="194"/>
      <c r="S378" s="194"/>
      <c r="T378" s="194"/>
      <c r="U378" s="194"/>
      <c r="V378" s="194"/>
      <c r="W378" s="194"/>
      <c r="X378" s="194"/>
      <c r="Y378" s="194"/>
      <c r="Z378" s="194"/>
      <c r="AA378" s="194"/>
      <c r="AB378" s="194"/>
    </row>
    <row r="379" spans="2:28" ht="14.25" customHeight="1">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c r="AA379" s="194"/>
      <c r="AB379" s="194"/>
    </row>
    <row r="380" spans="2:28" ht="14.25" customHeight="1">
      <c r="B380" s="194"/>
      <c r="C380" s="194"/>
      <c r="D380" s="194"/>
      <c r="E380" s="194"/>
      <c r="F380" s="194"/>
      <c r="G380" s="194"/>
      <c r="H380" s="194"/>
      <c r="I380" s="194"/>
      <c r="J380" s="194"/>
      <c r="K380" s="194"/>
      <c r="L380" s="194"/>
      <c r="M380" s="194"/>
      <c r="N380" s="194"/>
      <c r="O380" s="194"/>
      <c r="P380" s="194"/>
      <c r="Q380" s="194"/>
      <c r="R380" s="194"/>
      <c r="S380" s="194"/>
      <c r="T380" s="194"/>
      <c r="U380" s="194"/>
      <c r="V380" s="194"/>
      <c r="W380" s="194"/>
      <c r="X380" s="194"/>
      <c r="Y380" s="194"/>
      <c r="Z380" s="194"/>
      <c r="AA380" s="194"/>
      <c r="AB380" s="194"/>
    </row>
    <row r="381" spans="2:28" ht="14.25" customHeight="1">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c r="AA381" s="194"/>
      <c r="AB381" s="194"/>
    </row>
    <row r="382" spans="2:28" ht="14.25" customHeight="1">
      <c r="B382" s="194"/>
      <c r="C382" s="194"/>
      <c r="D382" s="194"/>
      <c r="E382" s="194"/>
      <c r="F382" s="194"/>
      <c r="G382" s="194"/>
      <c r="H382" s="194"/>
      <c r="I382" s="194"/>
      <c r="J382" s="194"/>
      <c r="K382" s="194"/>
      <c r="L382" s="194"/>
      <c r="M382" s="194"/>
      <c r="N382" s="194"/>
      <c r="O382" s="194"/>
      <c r="P382" s="194"/>
      <c r="Q382" s="194"/>
      <c r="R382" s="194"/>
      <c r="S382" s="194"/>
      <c r="T382" s="194"/>
      <c r="U382" s="194"/>
      <c r="V382" s="194"/>
      <c r="W382" s="194"/>
      <c r="X382" s="194"/>
      <c r="Y382" s="194"/>
      <c r="Z382" s="194"/>
      <c r="AA382" s="194"/>
      <c r="AB382" s="194"/>
    </row>
    <row r="383" spans="2:28" ht="14.25" customHeight="1">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c r="AA383" s="194"/>
      <c r="AB383" s="194"/>
    </row>
    <row r="384" spans="2:28" ht="14.25" customHeight="1">
      <c r="B384" s="194"/>
      <c r="C384" s="194"/>
      <c r="D384" s="194"/>
      <c r="E384" s="194"/>
      <c r="F384" s="194"/>
      <c r="G384" s="194"/>
      <c r="H384" s="194"/>
      <c r="I384" s="194"/>
      <c r="J384" s="194"/>
      <c r="K384" s="194"/>
      <c r="L384" s="194"/>
      <c r="M384" s="194"/>
      <c r="N384" s="194"/>
      <c r="O384" s="194"/>
      <c r="P384" s="194"/>
      <c r="Q384" s="194"/>
      <c r="R384" s="194"/>
      <c r="S384" s="194"/>
      <c r="T384" s="194"/>
      <c r="U384" s="194"/>
      <c r="V384" s="194"/>
      <c r="W384" s="194"/>
      <c r="X384" s="194"/>
      <c r="Y384" s="194"/>
      <c r="Z384" s="194"/>
      <c r="AA384" s="194"/>
      <c r="AB384" s="194"/>
    </row>
    <row r="385" spans="2:28" ht="14.25" customHeight="1">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c r="AA385" s="194"/>
      <c r="AB385" s="194"/>
    </row>
    <row r="386" spans="2:28" ht="14.25" customHeight="1">
      <c r="B386" s="194"/>
      <c r="C386" s="194"/>
      <c r="D386" s="194"/>
      <c r="E386" s="194"/>
      <c r="F386" s="194"/>
      <c r="G386" s="194"/>
      <c r="H386" s="194"/>
      <c r="I386" s="194"/>
      <c r="J386" s="194"/>
      <c r="K386" s="194"/>
      <c r="L386" s="194"/>
      <c r="M386" s="194"/>
      <c r="N386" s="194"/>
      <c r="O386" s="194"/>
      <c r="P386" s="194"/>
      <c r="Q386" s="194"/>
      <c r="R386" s="194"/>
      <c r="S386" s="194"/>
      <c r="T386" s="194"/>
      <c r="U386" s="194"/>
      <c r="V386" s="194"/>
      <c r="W386" s="194"/>
      <c r="X386" s="194"/>
      <c r="Y386" s="194"/>
      <c r="Z386" s="194"/>
      <c r="AA386" s="194"/>
      <c r="AB386" s="194"/>
    </row>
    <row r="387" spans="2:28" ht="14.25" customHeight="1">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c r="AA387" s="194"/>
      <c r="AB387" s="194"/>
    </row>
    <row r="388" spans="2:28" ht="14.25" customHeight="1">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c r="AA388" s="194"/>
      <c r="AB388" s="194"/>
    </row>
    <row r="389" spans="2:28" ht="14.25" customHeight="1">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c r="AA389" s="194"/>
      <c r="AB389" s="194"/>
    </row>
    <row r="390" spans="2:28" ht="14.25" customHeight="1">
      <c r="B390" s="194"/>
      <c r="C390" s="194"/>
      <c r="D390" s="194"/>
      <c r="E390" s="194"/>
      <c r="F390" s="194"/>
      <c r="G390" s="194"/>
      <c r="H390" s="194"/>
      <c r="I390" s="194"/>
      <c r="J390" s="194"/>
      <c r="K390" s="194"/>
      <c r="L390" s="194"/>
      <c r="M390" s="194"/>
      <c r="N390" s="194"/>
      <c r="O390" s="194"/>
      <c r="P390" s="194"/>
      <c r="Q390" s="194"/>
      <c r="R390" s="194"/>
      <c r="S390" s="194"/>
      <c r="T390" s="194"/>
      <c r="U390" s="194"/>
      <c r="V390" s="194"/>
      <c r="W390" s="194"/>
      <c r="X390" s="194"/>
      <c r="Y390" s="194"/>
      <c r="Z390" s="194"/>
      <c r="AA390" s="194"/>
      <c r="AB390" s="194"/>
    </row>
    <row r="391" spans="2:28" ht="14.25" customHeight="1">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194"/>
    </row>
    <row r="392" spans="2:28" ht="14.25" customHeight="1">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c r="AA392" s="194"/>
      <c r="AB392" s="194"/>
    </row>
    <row r="393" spans="2:28" ht="14.25" customHeight="1">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c r="AA393" s="194"/>
      <c r="AB393" s="194"/>
    </row>
    <row r="394" spans="2:28" ht="14.25" customHeight="1">
      <c r="B394" s="194"/>
      <c r="C394" s="194"/>
      <c r="D394" s="194"/>
      <c r="E394" s="194"/>
      <c r="F394" s="194"/>
      <c r="G394" s="194"/>
      <c r="H394" s="194"/>
      <c r="I394" s="194"/>
      <c r="J394" s="194"/>
      <c r="K394" s="194"/>
      <c r="L394" s="194"/>
      <c r="M394" s="194"/>
      <c r="N394" s="194"/>
      <c r="O394" s="194"/>
      <c r="P394" s="194"/>
      <c r="Q394" s="194"/>
      <c r="R394" s="194"/>
      <c r="S394" s="194"/>
      <c r="T394" s="194"/>
      <c r="U394" s="194"/>
      <c r="V394" s="194"/>
      <c r="W394" s="194"/>
      <c r="X394" s="194"/>
      <c r="Y394" s="194"/>
      <c r="Z394" s="194"/>
      <c r="AA394" s="194"/>
      <c r="AB394" s="194"/>
    </row>
    <row r="395" spans="2:28" ht="14.25" customHeight="1">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c r="AA395" s="194"/>
      <c r="AB395" s="194"/>
    </row>
    <row r="396" spans="2:28" ht="14.25" customHeight="1">
      <c r="B396" s="194"/>
      <c r="C396" s="194"/>
      <c r="D396" s="194"/>
      <c r="E396" s="194"/>
      <c r="F396" s="194"/>
      <c r="G396" s="194"/>
      <c r="H396" s="194"/>
      <c r="I396" s="194"/>
      <c r="J396" s="194"/>
      <c r="K396" s="194"/>
      <c r="L396" s="194"/>
      <c r="M396" s="194"/>
      <c r="N396" s="194"/>
      <c r="O396" s="194"/>
      <c r="P396" s="194"/>
      <c r="Q396" s="194"/>
      <c r="R396" s="194"/>
      <c r="S396" s="194"/>
      <c r="T396" s="194"/>
      <c r="U396" s="194"/>
      <c r="V396" s="194"/>
      <c r="W396" s="194"/>
      <c r="X396" s="194"/>
      <c r="Y396" s="194"/>
      <c r="Z396" s="194"/>
      <c r="AA396" s="194"/>
      <c r="AB396" s="194"/>
    </row>
    <row r="397" spans="2:28" ht="14.25" customHeight="1">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c r="AA397" s="194"/>
      <c r="AB397" s="194"/>
    </row>
    <row r="398" spans="2:28" ht="14.25" customHeight="1">
      <c r="B398" s="194"/>
      <c r="C398" s="194"/>
      <c r="D398" s="194"/>
      <c r="E398" s="194"/>
      <c r="F398" s="194"/>
      <c r="G398" s="194"/>
      <c r="H398" s="194"/>
      <c r="I398" s="194"/>
      <c r="J398" s="194"/>
      <c r="K398" s="194"/>
      <c r="L398" s="194"/>
      <c r="M398" s="194"/>
      <c r="N398" s="194"/>
      <c r="O398" s="194"/>
      <c r="P398" s="194"/>
      <c r="Q398" s="194"/>
      <c r="R398" s="194"/>
      <c r="S398" s="194"/>
      <c r="T398" s="194"/>
      <c r="U398" s="194"/>
      <c r="V398" s="194"/>
      <c r="W398" s="194"/>
      <c r="X398" s="194"/>
      <c r="Y398" s="194"/>
      <c r="Z398" s="194"/>
      <c r="AA398" s="194"/>
      <c r="AB398" s="194"/>
    </row>
    <row r="399" spans="2:28" ht="14.25" customHeight="1">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c r="AA399" s="194"/>
      <c r="AB399" s="194"/>
    </row>
    <row r="400" spans="2:28" ht="14.25" customHeight="1">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c r="AA400" s="194"/>
      <c r="AB400" s="194"/>
    </row>
    <row r="401" spans="2:28" ht="14.25" customHeight="1">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c r="AA401" s="194"/>
      <c r="AB401" s="194"/>
    </row>
    <row r="402" spans="2:28" ht="14.25" customHeight="1">
      <c r="B402" s="194"/>
      <c r="C402" s="194"/>
      <c r="D402" s="194"/>
      <c r="E402" s="194"/>
      <c r="F402" s="194"/>
      <c r="G402" s="194"/>
      <c r="H402" s="194"/>
      <c r="I402" s="194"/>
      <c r="J402" s="194"/>
      <c r="K402" s="194"/>
      <c r="L402" s="194"/>
      <c r="M402" s="194"/>
      <c r="N402" s="194"/>
      <c r="O402" s="194"/>
      <c r="P402" s="194"/>
      <c r="Q402" s="194"/>
      <c r="R402" s="194"/>
      <c r="S402" s="194"/>
      <c r="T402" s="194"/>
      <c r="U402" s="194"/>
      <c r="V402" s="194"/>
      <c r="W402" s="194"/>
      <c r="X402" s="194"/>
      <c r="Y402" s="194"/>
      <c r="Z402" s="194"/>
      <c r="AA402" s="194"/>
      <c r="AB402" s="194"/>
    </row>
    <row r="403" spans="2:28" ht="14.25" customHeight="1">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c r="AA403" s="194"/>
      <c r="AB403" s="194"/>
    </row>
    <row r="404" spans="2:28" ht="14.25" customHeight="1">
      <c r="B404" s="194"/>
      <c r="C404" s="194"/>
      <c r="D404" s="194"/>
      <c r="E404" s="194"/>
      <c r="F404" s="194"/>
      <c r="G404" s="194"/>
      <c r="H404" s="194"/>
      <c r="I404" s="194"/>
      <c r="J404" s="194"/>
      <c r="K404" s="194"/>
      <c r="L404" s="194"/>
      <c r="M404" s="194"/>
      <c r="N404" s="194"/>
      <c r="O404" s="194"/>
      <c r="P404" s="194"/>
      <c r="Q404" s="194"/>
      <c r="R404" s="194"/>
      <c r="S404" s="194"/>
      <c r="T404" s="194"/>
      <c r="U404" s="194"/>
      <c r="V404" s="194"/>
      <c r="W404" s="194"/>
      <c r="X404" s="194"/>
      <c r="Y404" s="194"/>
      <c r="Z404" s="194"/>
      <c r="AA404" s="194"/>
      <c r="AB404" s="194"/>
    </row>
    <row r="405" spans="2:28" ht="14.25" customHeight="1">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row>
    <row r="406" spans="2:28" ht="14.25" customHeight="1">
      <c r="B406" s="194"/>
      <c r="C406" s="194"/>
      <c r="D406" s="194"/>
      <c r="E406" s="194"/>
      <c r="F406" s="194"/>
      <c r="G406" s="194"/>
      <c r="H406" s="194"/>
      <c r="I406" s="194"/>
      <c r="J406" s="194"/>
      <c r="K406" s="194"/>
      <c r="L406" s="194"/>
      <c r="M406" s="194"/>
      <c r="N406" s="194"/>
      <c r="O406" s="194"/>
      <c r="P406" s="194"/>
      <c r="Q406" s="194"/>
      <c r="R406" s="194"/>
      <c r="S406" s="194"/>
      <c r="T406" s="194"/>
      <c r="U406" s="194"/>
      <c r="V406" s="194"/>
      <c r="W406" s="194"/>
      <c r="X406" s="194"/>
      <c r="Y406" s="194"/>
      <c r="Z406" s="194"/>
      <c r="AA406" s="194"/>
      <c r="AB406" s="194"/>
    </row>
    <row r="407" spans="2:28" ht="14.25" customHeight="1">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c r="AA407" s="194"/>
      <c r="AB407" s="194"/>
    </row>
    <row r="408" spans="2:28" ht="14.25" customHeight="1">
      <c r="B408" s="194"/>
      <c r="C408" s="194"/>
      <c r="D408" s="194"/>
      <c r="E408" s="194"/>
      <c r="F408" s="194"/>
      <c r="G408" s="194"/>
      <c r="H408" s="194"/>
      <c r="I408" s="194"/>
      <c r="J408" s="194"/>
      <c r="K408" s="194"/>
      <c r="L408" s="194"/>
      <c r="M408" s="194"/>
      <c r="N408" s="194"/>
      <c r="O408" s="194"/>
      <c r="P408" s="194"/>
      <c r="Q408" s="194"/>
      <c r="R408" s="194"/>
      <c r="S408" s="194"/>
      <c r="T408" s="194"/>
      <c r="U408" s="194"/>
      <c r="V408" s="194"/>
      <c r="W408" s="194"/>
      <c r="X408" s="194"/>
      <c r="Y408" s="194"/>
      <c r="Z408" s="194"/>
      <c r="AA408" s="194"/>
      <c r="AB408" s="194"/>
    </row>
    <row r="409" spans="2:28" ht="14.25" customHeight="1">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row>
    <row r="410" spans="2:28" ht="14.25" customHeight="1">
      <c r="B410" s="194"/>
      <c r="C410" s="194"/>
      <c r="D410" s="194"/>
      <c r="E410" s="194"/>
      <c r="F410" s="194"/>
      <c r="G410" s="194"/>
      <c r="H410" s="194"/>
      <c r="I410" s="194"/>
      <c r="J410" s="194"/>
      <c r="K410" s="194"/>
      <c r="L410" s="194"/>
      <c r="M410" s="194"/>
      <c r="N410" s="194"/>
      <c r="O410" s="194"/>
      <c r="P410" s="194"/>
      <c r="Q410" s="194"/>
      <c r="R410" s="194"/>
      <c r="S410" s="194"/>
      <c r="T410" s="194"/>
      <c r="U410" s="194"/>
      <c r="V410" s="194"/>
      <c r="W410" s="194"/>
      <c r="X410" s="194"/>
      <c r="Y410" s="194"/>
      <c r="Z410" s="194"/>
      <c r="AA410" s="194"/>
      <c r="AB410" s="194"/>
    </row>
    <row r="411" spans="2:28" ht="14.25" customHeight="1">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c r="AA411" s="194"/>
      <c r="AB411" s="194"/>
    </row>
    <row r="412" spans="2:28" ht="14.25" customHeight="1">
      <c r="B412" s="194"/>
      <c r="C412" s="194"/>
      <c r="D412" s="194"/>
      <c r="E412" s="194"/>
      <c r="F412" s="194"/>
      <c r="G412" s="194"/>
      <c r="H412" s="194"/>
      <c r="I412" s="194"/>
      <c r="J412" s="194"/>
      <c r="K412" s="194"/>
      <c r="L412" s="194"/>
      <c r="M412" s="194"/>
      <c r="N412" s="194"/>
      <c r="O412" s="194"/>
      <c r="P412" s="194"/>
      <c r="Q412" s="194"/>
      <c r="R412" s="194"/>
      <c r="S412" s="194"/>
      <c r="T412" s="194"/>
      <c r="U412" s="194"/>
      <c r="V412" s="194"/>
      <c r="W412" s="194"/>
      <c r="X412" s="194"/>
      <c r="Y412" s="194"/>
      <c r="Z412" s="194"/>
      <c r="AA412" s="194"/>
      <c r="AB412" s="194"/>
    </row>
    <row r="413" spans="2:28" ht="14.25" customHeight="1">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c r="AA413" s="194"/>
      <c r="AB413" s="194"/>
    </row>
    <row r="414" spans="2:28" ht="14.25" customHeight="1">
      <c r="B414" s="194"/>
      <c r="C414" s="194"/>
      <c r="D414" s="194"/>
      <c r="E414" s="194"/>
      <c r="F414" s="194"/>
      <c r="G414" s="194"/>
      <c r="H414" s="194"/>
      <c r="I414" s="194"/>
      <c r="J414" s="194"/>
      <c r="K414" s="194"/>
      <c r="L414" s="194"/>
      <c r="M414" s="194"/>
      <c r="N414" s="194"/>
      <c r="O414" s="194"/>
      <c r="P414" s="194"/>
      <c r="Q414" s="194"/>
      <c r="R414" s="194"/>
      <c r="S414" s="194"/>
      <c r="T414" s="194"/>
      <c r="U414" s="194"/>
      <c r="V414" s="194"/>
      <c r="W414" s="194"/>
      <c r="X414" s="194"/>
      <c r="Y414" s="194"/>
      <c r="Z414" s="194"/>
      <c r="AA414" s="194"/>
      <c r="AB414" s="194"/>
    </row>
    <row r="415" spans="2:28" ht="14.25" customHeight="1">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c r="AA415" s="194"/>
      <c r="AB415" s="194"/>
    </row>
    <row r="416" spans="2:28" ht="14.25" customHeight="1">
      <c r="B416" s="194"/>
      <c r="C416" s="194"/>
      <c r="D416" s="194"/>
      <c r="E416" s="194"/>
      <c r="F416" s="194"/>
      <c r="G416" s="194"/>
      <c r="H416" s="194"/>
      <c r="I416" s="194"/>
      <c r="J416" s="194"/>
      <c r="K416" s="194"/>
      <c r="L416" s="194"/>
      <c r="M416" s="194"/>
      <c r="N416" s="194"/>
      <c r="O416" s="194"/>
      <c r="P416" s="194"/>
      <c r="Q416" s="194"/>
      <c r="R416" s="194"/>
      <c r="S416" s="194"/>
      <c r="T416" s="194"/>
      <c r="U416" s="194"/>
      <c r="V416" s="194"/>
      <c r="W416" s="194"/>
      <c r="X416" s="194"/>
      <c r="Y416" s="194"/>
      <c r="Z416" s="194"/>
      <c r="AA416" s="194"/>
      <c r="AB416" s="194"/>
    </row>
    <row r="417" spans="2:28" ht="14.25" customHeight="1">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c r="AA417" s="194"/>
      <c r="AB417" s="194"/>
    </row>
    <row r="418" spans="2:28" ht="14.25" customHeight="1">
      <c r="B418" s="194"/>
      <c r="C418" s="194"/>
      <c r="D418" s="194"/>
      <c r="E418" s="194"/>
      <c r="F418" s="194"/>
      <c r="G418" s="194"/>
      <c r="H418" s="194"/>
      <c r="I418" s="194"/>
      <c r="J418" s="194"/>
      <c r="K418" s="194"/>
      <c r="L418" s="194"/>
      <c r="M418" s="194"/>
      <c r="N418" s="194"/>
      <c r="O418" s="194"/>
      <c r="P418" s="194"/>
      <c r="Q418" s="194"/>
      <c r="R418" s="194"/>
      <c r="S418" s="194"/>
      <c r="T418" s="194"/>
      <c r="U418" s="194"/>
      <c r="V418" s="194"/>
      <c r="W418" s="194"/>
      <c r="X418" s="194"/>
      <c r="Y418" s="194"/>
      <c r="Z418" s="194"/>
      <c r="AA418" s="194"/>
      <c r="AB418" s="194"/>
    </row>
    <row r="419" spans="2:28" ht="14.25" customHeight="1">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c r="AA419" s="194"/>
      <c r="AB419" s="194"/>
    </row>
    <row r="420" spans="2:28" ht="14.25" customHeight="1">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row>
    <row r="421" spans="2:28" ht="14.25" customHeight="1">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row>
    <row r="422" spans="2:28" ht="14.25" customHeight="1">
      <c r="B422" s="194"/>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c r="AA422" s="194"/>
      <c r="AB422" s="194"/>
    </row>
    <row r="423" spans="2:28" ht="14.25" customHeight="1">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row>
    <row r="424" spans="2:28" ht="14.25" customHeight="1">
      <c r="B424" s="194"/>
      <c r="C424" s="194"/>
      <c r="D424" s="194"/>
      <c r="E424" s="194"/>
      <c r="F424" s="194"/>
      <c r="G424" s="194"/>
      <c r="H424" s="194"/>
      <c r="I424" s="194"/>
      <c r="J424" s="194"/>
      <c r="K424" s="194"/>
      <c r="L424" s="194"/>
      <c r="M424" s="194"/>
      <c r="N424" s="194"/>
      <c r="O424" s="194"/>
      <c r="P424" s="194"/>
      <c r="Q424" s="194"/>
      <c r="R424" s="194"/>
      <c r="S424" s="194"/>
      <c r="T424" s="194"/>
      <c r="U424" s="194"/>
      <c r="V424" s="194"/>
      <c r="W424" s="194"/>
      <c r="X424" s="194"/>
      <c r="Y424" s="194"/>
      <c r="Z424" s="194"/>
      <c r="AA424" s="194"/>
      <c r="AB424" s="194"/>
    </row>
    <row r="425" spans="2:28" ht="14.25" customHeight="1">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c r="AA425" s="194"/>
      <c r="AB425" s="194"/>
    </row>
    <row r="426" spans="2:28" ht="14.25" customHeight="1">
      <c r="B426" s="194"/>
      <c r="C426" s="194"/>
      <c r="D426" s="194"/>
      <c r="E426" s="194"/>
      <c r="F426" s="194"/>
      <c r="G426" s="194"/>
      <c r="H426" s="194"/>
      <c r="I426" s="194"/>
      <c r="J426" s="194"/>
      <c r="K426" s="194"/>
      <c r="L426" s="194"/>
      <c r="M426" s="194"/>
      <c r="N426" s="194"/>
      <c r="O426" s="194"/>
      <c r="P426" s="194"/>
      <c r="Q426" s="194"/>
      <c r="R426" s="194"/>
      <c r="S426" s="194"/>
      <c r="T426" s="194"/>
      <c r="U426" s="194"/>
      <c r="V426" s="194"/>
      <c r="W426" s="194"/>
      <c r="X426" s="194"/>
      <c r="Y426" s="194"/>
      <c r="Z426" s="194"/>
      <c r="AA426" s="194"/>
      <c r="AB426" s="194"/>
    </row>
    <row r="427" spans="2:28" ht="14.25" customHeight="1">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c r="AA427" s="194"/>
      <c r="AB427" s="194"/>
    </row>
    <row r="428" spans="2:28" ht="14.25" customHeight="1">
      <c r="B428" s="194"/>
      <c r="C428" s="194"/>
      <c r="D428" s="194"/>
      <c r="E428" s="194"/>
      <c r="F428" s="194"/>
      <c r="G428" s="194"/>
      <c r="H428" s="194"/>
      <c r="I428" s="194"/>
      <c r="J428" s="194"/>
      <c r="K428" s="194"/>
      <c r="L428" s="194"/>
      <c r="M428" s="194"/>
      <c r="N428" s="194"/>
      <c r="O428" s="194"/>
      <c r="P428" s="194"/>
      <c r="Q428" s="194"/>
      <c r="R428" s="194"/>
      <c r="S428" s="194"/>
      <c r="T428" s="194"/>
      <c r="U428" s="194"/>
      <c r="V428" s="194"/>
      <c r="W428" s="194"/>
      <c r="X428" s="194"/>
      <c r="Y428" s="194"/>
      <c r="Z428" s="194"/>
      <c r="AA428" s="194"/>
      <c r="AB428" s="194"/>
    </row>
    <row r="429" spans="2:28" ht="14.25" customHeight="1">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c r="AA429" s="194"/>
      <c r="AB429" s="194"/>
    </row>
    <row r="430" spans="2:28" ht="14.25" customHeight="1">
      <c r="B430" s="194"/>
      <c r="C430" s="194"/>
      <c r="D430" s="194"/>
      <c r="E430" s="194"/>
      <c r="F430" s="194"/>
      <c r="G430" s="194"/>
      <c r="H430" s="194"/>
      <c r="I430" s="194"/>
      <c r="J430" s="194"/>
      <c r="K430" s="194"/>
      <c r="L430" s="194"/>
      <c r="M430" s="194"/>
      <c r="N430" s="194"/>
      <c r="O430" s="194"/>
      <c r="P430" s="194"/>
      <c r="Q430" s="194"/>
      <c r="R430" s="194"/>
      <c r="S430" s="194"/>
      <c r="T430" s="194"/>
      <c r="U430" s="194"/>
      <c r="V430" s="194"/>
      <c r="W430" s="194"/>
      <c r="X430" s="194"/>
      <c r="Y430" s="194"/>
      <c r="Z430" s="194"/>
      <c r="AA430" s="194"/>
      <c r="AB430" s="194"/>
    </row>
    <row r="431" spans="2:28" ht="14.25" customHeight="1">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row>
    <row r="432" spans="2:28" ht="14.25" customHeight="1">
      <c r="B432" s="194"/>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c r="AA432" s="194"/>
      <c r="AB432" s="194"/>
    </row>
    <row r="433" spans="2:28" ht="14.25" customHeight="1">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c r="AA433" s="194"/>
      <c r="AB433" s="194"/>
    </row>
    <row r="434" spans="2:28" ht="14.25" customHeight="1">
      <c r="B434" s="194"/>
      <c r="C434" s="194"/>
      <c r="D434" s="194"/>
      <c r="E434" s="194"/>
      <c r="F434" s="194"/>
      <c r="G434" s="194"/>
      <c r="H434" s="194"/>
      <c r="I434" s="194"/>
      <c r="J434" s="194"/>
      <c r="K434" s="194"/>
      <c r="L434" s="194"/>
      <c r="M434" s="194"/>
      <c r="N434" s="194"/>
      <c r="O434" s="194"/>
      <c r="P434" s="194"/>
      <c r="Q434" s="194"/>
      <c r="R434" s="194"/>
      <c r="S434" s="194"/>
      <c r="T434" s="194"/>
      <c r="U434" s="194"/>
      <c r="V434" s="194"/>
      <c r="W434" s="194"/>
      <c r="X434" s="194"/>
      <c r="Y434" s="194"/>
      <c r="Z434" s="194"/>
      <c r="AA434" s="194"/>
      <c r="AB434" s="194"/>
    </row>
    <row r="435" spans="2:28" ht="14.25" customHeight="1">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row>
    <row r="436" spans="2:28" ht="14.25" customHeight="1">
      <c r="B436" s="194"/>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c r="AA436" s="194"/>
      <c r="AB436" s="194"/>
    </row>
    <row r="437" spans="2:28" ht="14.25" customHeight="1">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row>
    <row r="438" spans="2:28" ht="14.25" customHeight="1">
      <c r="B438" s="194"/>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c r="AA438" s="194"/>
      <c r="AB438" s="194"/>
    </row>
    <row r="439" spans="2:28" ht="14.25" customHeight="1">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c r="AA439" s="194"/>
      <c r="AB439" s="194"/>
    </row>
    <row r="440" spans="2:28" ht="14.25" customHeight="1">
      <c r="B440" s="194"/>
      <c r="C440" s="194"/>
      <c r="D440" s="194"/>
      <c r="E440" s="194"/>
      <c r="F440" s="194"/>
      <c r="G440" s="194"/>
      <c r="H440" s="194"/>
      <c r="I440" s="194"/>
      <c r="J440" s="194"/>
      <c r="K440" s="194"/>
      <c r="L440" s="194"/>
      <c r="M440" s="194"/>
      <c r="N440" s="194"/>
      <c r="O440" s="194"/>
      <c r="P440" s="194"/>
      <c r="Q440" s="194"/>
      <c r="R440" s="194"/>
      <c r="S440" s="194"/>
      <c r="T440" s="194"/>
      <c r="U440" s="194"/>
      <c r="V440" s="194"/>
      <c r="W440" s="194"/>
      <c r="X440" s="194"/>
      <c r="Y440" s="194"/>
      <c r="Z440" s="194"/>
      <c r="AA440" s="194"/>
      <c r="AB440" s="194"/>
    </row>
    <row r="441" spans="2:28" ht="14.25" customHeight="1">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c r="AA441" s="194"/>
      <c r="AB441" s="194"/>
    </row>
    <row r="442" spans="2:28" ht="14.25" customHeight="1">
      <c r="B442" s="194"/>
      <c r="C442" s="194"/>
      <c r="D442" s="194"/>
      <c r="E442" s="194"/>
      <c r="F442" s="194"/>
      <c r="G442" s="194"/>
      <c r="H442" s="194"/>
      <c r="I442" s="194"/>
      <c r="J442" s="194"/>
      <c r="K442" s="194"/>
      <c r="L442" s="194"/>
      <c r="M442" s="194"/>
      <c r="N442" s="194"/>
      <c r="O442" s="194"/>
      <c r="P442" s="194"/>
      <c r="Q442" s="194"/>
      <c r="R442" s="194"/>
      <c r="S442" s="194"/>
      <c r="T442" s="194"/>
      <c r="U442" s="194"/>
      <c r="V442" s="194"/>
      <c r="W442" s="194"/>
      <c r="X442" s="194"/>
      <c r="Y442" s="194"/>
      <c r="Z442" s="194"/>
      <c r="AA442" s="194"/>
      <c r="AB442" s="194"/>
    </row>
    <row r="443" spans="2:28" ht="14.25" customHeight="1">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c r="AA443" s="194"/>
      <c r="AB443" s="194"/>
    </row>
    <row r="444" spans="2:28" ht="14.25" customHeight="1">
      <c r="B444" s="194"/>
      <c r="C444" s="194"/>
      <c r="D444" s="194"/>
      <c r="E444" s="194"/>
      <c r="F444" s="194"/>
      <c r="G444" s="194"/>
      <c r="H444" s="194"/>
      <c r="I444" s="194"/>
      <c r="J444" s="194"/>
      <c r="K444" s="194"/>
      <c r="L444" s="194"/>
      <c r="M444" s="194"/>
      <c r="N444" s="194"/>
      <c r="O444" s="194"/>
      <c r="P444" s="194"/>
      <c r="Q444" s="194"/>
      <c r="R444" s="194"/>
      <c r="S444" s="194"/>
      <c r="T444" s="194"/>
      <c r="U444" s="194"/>
      <c r="V444" s="194"/>
      <c r="W444" s="194"/>
      <c r="X444" s="194"/>
      <c r="Y444" s="194"/>
      <c r="Z444" s="194"/>
      <c r="AA444" s="194"/>
      <c r="AB444" s="194"/>
    </row>
    <row r="445" spans="2:28" ht="14.25" customHeight="1">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c r="AA445" s="194"/>
      <c r="AB445" s="194"/>
    </row>
    <row r="446" spans="2:28" ht="14.25" customHeight="1">
      <c r="B446" s="194"/>
      <c r="C446" s="194"/>
      <c r="D446" s="194"/>
      <c r="E446" s="194"/>
      <c r="F446" s="194"/>
      <c r="G446" s="194"/>
      <c r="H446" s="194"/>
      <c r="I446" s="194"/>
      <c r="J446" s="194"/>
      <c r="K446" s="194"/>
      <c r="L446" s="194"/>
      <c r="M446" s="194"/>
      <c r="N446" s="194"/>
      <c r="O446" s="194"/>
      <c r="P446" s="194"/>
      <c r="Q446" s="194"/>
      <c r="R446" s="194"/>
      <c r="S446" s="194"/>
      <c r="T446" s="194"/>
      <c r="U446" s="194"/>
      <c r="V446" s="194"/>
      <c r="W446" s="194"/>
      <c r="X446" s="194"/>
      <c r="Y446" s="194"/>
      <c r="Z446" s="194"/>
      <c r="AA446" s="194"/>
      <c r="AB446" s="194"/>
    </row>
    <row r="447" spans="2:28" ht="14.25" customHeight="1">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c r="AA447" s="194"/>
      <c r="AB447" s="194"/>
    </row>
    <row r="448" spans="2:28" ht="14.25" customHeight="1">
      <c r="B448" s="194"/>
      <c r="C448" s="194"/>
      <c r="D448" s="194"/>
      <c r="E448" s="194"/>
      <c r="F448" s="194"/>
      <c r="G448" s="194"/>
      <c r="H448" s="194"/>
      <c r="I448" s="194"/>
      <c r="J448" s="194"/>
      <c r="K448" s="194"/>
      <c r="L448" s="194"/>
      <c r="M448" s="194"/>
      <c r="N448" s="194"/>
      <c r="O448" s="194"/>
      <c r="P448" s="194"/>
      <c r="Q448" s="194"/>
      <c r="R448" s="194"/>
      <c r="S448" s="194"/>
      <c r="T448" s="194"/>
      <c r="U448" s="194"/>
      <c r="V448" s="194"/>
      <c r="W448" s="194"/>
      <c r="X448" s="194"/>
      <c r="Y448" s="194"/>
      <c r="Z448" s="194"/>
      <c r="AA448" s="194"/>
      <c r="AB448" s="194"/>
    </row>
    <row r="449" spans="2:28" ht="14.25" customHeight="1">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c r="AA449" s="194"/>
      <c r="AB449" s="194"/>
    </row>
    <row r="450" spans="2:28" ht="14.25" customHeight="1">
      <c r="B450" s="194"/>
      <c r="C450" s="194"/>
      <c r="D450" s="194"/>
      <c r="E450" s="194"/>
      <c r="F450" s="194"/>
      <c r="G450" s="194"/>
      <c r="H450" s="194"/>
      <c r="I450" s="194"/>
      <c r="J450" s="194"/>
      <c r="K450" s="194"/>
      <c r="L450" s="194"/>
      <c r="M450" s="194"/>
      <c r="N450" s="194"/>
      <c r="O450" s="194"/>
      <c r="P450" s="194"/>
      <c r="Q450" s="194"/>
      <c r="R450" s="194"/>
      <c r="S450" s="194"/>
      <c r="T450" s="194"/>
      <c r="U450" s="194"/>
      <c r="V450" s="194"/>
      <c r="W450" s="194"/>
      <c r="X450" s="194"/>
      <c r="Y450" s="194"/>
      <c r="Z450" s="194"/>
      <c r="AA450" s="194"/>
      <c r="AB450" s="194"/>
    </row>
    <row r="451" spans="2:28" ht="14.25" customHeight="1">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c r="AA451" s="194"/>
      <c r="AB451" s="194"/>
    </row>
    <row r="452" spans="2:28" ht="14.25" customHeight="1">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c r="AA452" s="194"/>
      <c r="AB452" s="194"/>
    </row>
    <row r="453" spans="2:28" ht="14.25" customHeight="1">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row>
    <row r="454" spans="2:28" ht="14.25" customHeight="1">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row>
    <row r="455" spans="2:28" ht="14.25" customHeight="1">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row>
    <row r="456" spans="2:28" ht="14.25" customHeight="1">
      <c r="B456" s="194"/>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c r="AA456" s="194"/>
      <c r="AB456" s="194"/>
    </row>
    <row r="457" spans="2:28" ht="14.25" customHeight="1">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row>
    <row r="458" spans="2:28" ht="14.25" customHeight="1">
      <c r="B458" s="194"/>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c r="AA458" s="194"/>
      <c r="AB458" s="194"/>
    </row>
    <row r="459" spans="2:28" ht="14.25" customHeight="1">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row>
    <row r="460" spans="2:28" ht="14.25" customHeight="1">
      <c r="B460" s="194"/>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c r="AA460" s="194"/>
      <c r="AB460" s="194"/>
    </row>
    <row r="461" spans="2:28" ht="14.25" customHeight="1">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row>
    <row r="462" spans="2:28" ht="14.25" customHeight="1">
      <c r="B462" s="194"/>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c r="AA462" s="194"/>
      <c r="AB462" s="194"/>
    </row>
    <row r="463" spans="2:28" ht="14.25" customHeight="1">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row>
    <row r="464" spans="2:28" ht="14.25" customHeight="1">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row>
    <row r="465" spans="2:28" ht="14.25" customHeight="1">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c r="AA465" s="194"/>
      <c r="AB465" s="194"/>
    </row>
    <row r="466" spans="2:28" ht="14.25" customHeight="1">
      <c r="B466" s="194"/>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c r="AA466" s="194"/>
      <c r="AB466" s="194"/>
    </row>
    <row r="467" spans="2:28" ht="14.25" customHeight="1">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c r="AA467" s="194"/>
      <c r="AB467" s="194"/>
    </row>
    <row r="468" spans="2:28" ht="14.25" customHeight="1">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row>
    <row r="469" spans="2:28" ht="14.25" customHeight="1">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row>
    <row r="470" spans="2:28" ht="14.25" customHeight="1">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row>
    <row r="471" spans="2:28" ht="14.25" customHeight="1">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row>
    <row r="472" spans="2:28" ht="14.25" customHeight="1">
      <c r="B472" s="194"/>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c r="AA472" s="194"/>
      <c r="AB472" s="194"/>
    </row>
    <row r="473" spans="2:28" ht="14.25" customHeight="1">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row>
    <row r="474" spans="2:28" ht="14.25" customHeight="1">
      <c r="B474" s="194"/>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c r="AA474" s="194"/>
      <c r="AB474" s="194"/>
    </row>
    <row r="475" spans="2:28" ht="14.25" customHeight="1">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row>
    <row r="476" spans="2:28" ht="14.25" customHeight="1">
      <c r="B476" s="194"/>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c r="AA476" s="194"/>
      <c r="AB476" s="194"/>
    </row>
    <row r="477" spans="2:28" ht="14.25" customHeight="1">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row>
    <row r="478" spans="2:28" ht="14.25" customHeight="1">
      <c r="B478" s="194"/>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c r="AA478" s="194"/>
      <c r="AB478" s="194"/>
    </row>
    <row r="479" spans="2:28" ht="14.25" customHeight="1">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row>
    <row r="480" spans="2:28" ht="14.25" customHeight="1">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94"/>
      <c r="X480" s="194"/>
      <c r="Y480" s="194"/>
      <c r="Z480" s="194"/>
      <c r="AA480" s="194"/>
      <c r="AB480" s="194"/>
    </row>
    <row r="481" spans="2:28" ht="14.25" customHeight="1">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row>
    <row r="482" spans="2:28" ht="14.25" customHeight="1">
      <c r="B482" s="194"/>
      <c r="C482" s="194"/>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c r="AA482" s="194"/>
      <c r="AB482" s="194"/>
    </row>
    <row r="483" spans="2:28" ht="14.25" customHeight="1">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c r="AA483" s="194"/>
      <c r="AB483" s="194"/>
    </row>
    <row r="484" spans="2:28" ht="14.25" customHeight="1">
      <c r="B484" s="194"/>
      <c r="C484" s="194"/>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c r="AA484" s="194"/>
      <c r="AB484" s="194"/>
    </row>
    <row r="485" spans="2:28" ht="14.25" customHeight="1">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row>
    <row r="486" spans="2:28" ht="14.25" customHeight="1">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row>
    <row r="487" spans="2:28" ht="14.25" customHeight="1">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row>
    <row r="488" spans="2:28" ht="14.25" customHeight="1">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c r="AA488" s="194"/>
      <c r="AB488" s="194"/>
    </row>
    <row r="489" spans="2:28" ht="14.25" customHeight="1">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c r="AA489" s="194"/>
      <c r="AB489" s="194"/>
    </row>
    <row r="490" spans="2:28" ht="14.25" customHeight="1">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c r="AA490" s="194"/>
      <c r="AB490" s="194"/>
    </row>
    <row r="491" spans="2:28" ht="14.25" customHeight="1">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c r="AA491" s="194"/>
      <c r="AB491" s="194"/>
    </row>
    <row r="492" spans="2:28" ht="14.25" customHeight="1">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c r="AA492" s="194"/>
      <c r="AB492" s="194"/>
    </row>
    <row r="493" spans="2:28" ht="14.25" customHeight="1">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c r="AA493" s="194"/>
      <c r="AB493" s="194"/>
    </row>
    <row r="494" spans="2:28" ht="14.25" customHeight="1">
      <c r="B494" s="194"/>
      <c r="C494" s="194"/>
      <c r="D494" s="194"/>
      <c r="E494" s="194"/>
      <c r="F494" s="194"/>
      <c r="G494" s="194"/>
      <c r="H494" s="194"/>
      <c r="I494" s="194"/>
      <c r="J494" s="194"/>
      <c r="K494" s="194"/>
      <c r="L494" s="194"/>
      <c r="M494" s="194"/>
      <c r="N494" s="194"/>
      <c r="O494" s="194"/>
      <c r="P494" s="194"/>
      <c r="Q494" s="194"/>
      <c r="R494" s="194"/>
      <c r="S494" s="194"/>
      <c r="T494" s="194"/>
      <c r="U494" s="194"/>
      <c r="V494" s="194"/>
      <c r="W494" s="194"/>
      <c r="X494" s="194"/>
      <c r="Y494" s="194"/>
      <c r="Z494" s="194"/>
      <c r="AA494" s="194"/>
      <c r="AB494" s="194"/>
    </row>
    <row r="495" spans="2:28" ht="14.25" customHeight="1">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c r="AA495" s="194"/>
      <c r="AB495" s="194"/>
    </row>
    <row r="496" spans="2:28" ht="14.25" customHeight="1">
      <c r="B496" s="194"/>
      <c r="C496" s="194"/>
      <c r="D496" s="194"/>
      <c r="E496" s="194"/>
      <c r="F496" s="194"/>
      <c r="G496" s="194"/>
      <c r="H496" s="194"/>
      <c r="I496" s="194"/>
      <c r="J496" s="194"/>
      <c r="K496" s="194"/>
      <c r="L496" s="194"/>
      <c r="M496" s="194"/>
      <c r="N496" s="194"/>
      <c r="O496" s="194"/>
      <c r="P496" s="194"/>
      <c r="Q496" s="194"/>
      <c r="R496" s="194"/>
      <c r="S496" s="194"/>
      <c r="T496" s="194"/>
      <c r="U496" s="194"/>
      <c r="V496" s="194"/>
      <c r="W496" s="194"/>
      <c r="X496" s="194"/>
      <c r="Y496" s="194"/>
      <c r="Z496" s="194"/>
      <c r="AA496" s="194"/>
      <c r="AB496" s="194"/>
    </row>
    <row r="497" spans="2:28" ht="14.25" customHeight="1">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c r="AA497" s="194"/>
      <c r="AB497" s="194"/>
    </row>
    <row r="498" spans="2:28" ht="14.25" customHeight="1">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c r="AA498" s="194"/>
      <c r="AB498" s="194"/>
    </row>
    <row r="499" spans="2:28" ht="14.25" customHeight="1">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c r="AA499" s="194"/>
      <c r="AB499" s="194"/>
    </row>
    <row r="500" spans="2:28" ht="14.25" customHeight="1">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c r="AA500" s="194"/>
      <c r="AB500" s="194"/>
    </row>
    <row r="501" spans="2:28" ht="14.25" customHeight="1">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c r="AA501" s="194"/>
      <c r="AB501" s="194"/>
    </row>
    <row r="502" spans="2:28" ht="14.25" customHeight="1">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c r="AA502" s="194"/>
      <c r="AB502" s="194"/>
    </row>
    <row r="503" spans="2:28" ht="14.25" customHeight="1">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c r="AA503" s="194"/>
      <c r="AB503" s="194"/>
    </row>
    <row r="504" spans="2:28" ht="14.25" customHeight="1">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c r="AA504" s="194"/>
      <c r="AB504" s="194"/>
    </row>
    <row r="505" spans="2:28" ht="14.25" customHeight="1">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c r="AA505" s="194"/>
      <c r="AB505" s="194"/>
    </row>
    <row r="506" spans="2:28" ht="14.25" customHeight="1">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c r="AA506" s="194"/>
      <c r="AB506" s="194"/>
    </row>
    <row r="507" spans="2:28" ht="14.25" customHeight="1">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c r="AA507" s="194"/>
      <c r="AB507" s="194"/>
    </row>
    <row r="508" spans="2:28" ht="14.25" customHeight="1">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c r="AA508" s="194"/>
      <c r="AB508" s="194"/>
    </row>
    <row r="509" spans="2:28" ht="14.25" customHeight="1">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row>
    <row r="510" spans="2:28" ht="14.25" customHeight="1">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c r="AA510" s="194"/>
      <c r="AB510" s="194"/>
    </row>
    <row r="511" spans="2:28" ht="14.25" customHeight="1">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c r="AA511" s="194"/>
      <c r="AB511" s="194"/>
    </row>
    <row r="512" spans="2:28" ht="14.25" customHeight="1">
      <c r="B512" s="194"/>
      <c r="C512" s="194"/>
      <c r="D512" s="194"/>
      <c r="E512" s="194"/>
      <c r="F512" s="194"/>
      <c r="G512" s="194"/>
      <c r="H512" s="194"/>
      <c r="I512" s="194"/>
      <c r="J512" s="194"/>
      <c r="K512" s="194"/>
      <c r="L512" s="194"/>
      <c r="M512" s="194"/>
      <c r="N512" s="194"/>
      <c r="O512" s="194"/>
      <c r="P512" s="194"/>
      <c r="Q512" s="194"/>
      <c r="R512" s="194"/>
      <c r="S512" s="194"/>
      <c r="T512" s="194"/>
      <c r="U512" s="194"/>
      <c r="V512" s="194"/>
      <c r="W512" s="194"/>
      <c r="X512" s="194"/>
      <c r="Y512" s="194"/>
      <c r="Z512" s="194"/>
      <c r="AA512" s="194"/>
      <c r="AB512" s="194"/>
    </row>
    <row r="513" spans="2:28" ht="14.25" customHeight="1">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c r="AA513" s="194"/>
      <c r="AB513" s="194"/>
    </row>
    <row r="514" spans="2:28" ht="14.25" customHeight="1">
      <c r="B514" s="194"/>
      <c r="C514" s="194"/>
      <c r="D514" s="194"/>
      <c r="E514" s="194"/>
      <c r="F514" s="194"/>
      <c r="G514" s="194"/>
      <c r="H514" s="194"/>
      <c r="I514" s="194"/>
      <c r="J514" s="194"/>
      <c r="K514" s="194"/>
      <c r="L514" s="194"/>
      <c r="M514" s="194"/>
      <c r="N514" s="194"/>
      <c r="O514" s="194"/>
      <c r="P514" s="194"/>
      <c r="Q514" s="194"/>
      <c r="R514" s="194"/>
      <c r="S514" s="194"/>
      <c r="T514" s="194"/>
      <c r="U514" s="194"/>
      <c r="V514" s="194"/>
      <c r="W514" s="194"/>
      <c r="X514" s="194"/>
      <c r="Y514" s="194"/>
      <c r="Z514" s="194"/>
      <c r="AA514" s="194"/>
      <c r="AB514" s="194"/>
    </row>
    <row r="515" spans="2:28" ht="14.25" customHeight="1">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c r="AA515" s="194"/>
      <c r="AB515" s="194"/>
    </row>
    <row r="516" spans="2:28" ht="14.25" customHeight="1">
      <c r="B516" s="194"/>
      <c r="C516" s="194"/>
      <c r="D516" s="194"/>
      <c r="E516" s="194"/>
      <c r="F516" s="194"/>
      <c r="G516" s="194"/>
      <c r="H516" s="194"/>
      <c r="I516" s="194"/>
      <c r="J516" s="194"/>
      <c r="K516" s="194"/>
      <c r="L516" s="194"/>
      <c r="M516" s="194"/>
      <c r="N516" s="194"/>
      <c r="O516" s="194"/>
      <c r="P516" s="194"/>
      <c r="Q516" s="194"/>
      <c r="R516" s="194"/>
      <c r="S516" s="194"/>
      <c r="T516" s="194"/>
      <c r="U516" s="194"/>
      <c r="V516" s="194"/>
      <c r="W516" s="194"/>
      <c r="X516" s="194"/>
      <c r="Y516" s="194"/>
      <c r="Z516" s="194"/>
      <c r="AA516" s="194"/>
      <c r="AB516" s="194"/>
    </row>
    <row r="517" spans="2:28" ht="14.25" customHeight="1">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c r="AA517" s="194"/>
      <c r="AB517" s="194"/>
    </row>
    <row r="518" spans="2:28" ht="14.25" customHeight="1">
      <c r="B518" s="194"/>
      <c r="C518" s="194"/>
      <c r="D518" s="194"/>
      <c r="E518" s="194"/>
      <c r="F518" s="194"/>
      <c r="G518" s="194"/>
      <c r="H518" s="194"/>
      <c r="I518" s="194"/>
      <c r="J518" s="194"/>
      <c r="K518" s="194"/>
      <c r="L518" s="194"/>
      <c r="M518" s="194"/>
      <c r="N518" s="194"/>
      <c r="O518" s="194"/>
      <c r="P518" s="194"/>
      <c r="Q518" s="194"/>
      <c r="R518" s="194"/>
      <c r="S518" s="194"/>
      <c r="T518" s="194"/>
      <c r="U518" s="194"/>
      <c r="V518" s="194"/>
      <c r="W518" s="194"/>
      <c r="X518" s="194"/>
      <c r="Y518" s="194"/>
      <c r="Z518" s="194"/>
      <c r="AA518" s="194"/>
      <c r="AB518" s="194"/>
    </row>
    <row r="519" spans="2:28" ht="14.25" customHeight="1">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194"/>
    </row>
    <row r="520" spans="2:28" ht="14.25" customHeight="1">
      <c r="B520" s="194"/>
      <c r="C520" s="194"/>
      <c r="D520" s="194"/>
      <c r="E520" s="194"/>
      <c r="F520" s="194"/>
      <c r="G520" s="194"/>
      <c r="H520" s="194"/>
      <c r="I520" s="194"/>
      <c r="J520" s="194"/>
      <c r="K520" s="194"/>
      <c r="L520" s="194"/>
      <c r="M520" s="194"/>
      <c r="N520" s="194"/>
      <c r="O520" s="194"/>
      <c r="P520" s="194"/>
      <c r="Q520" s="194"/>
      <c r="R520" s="194"/>
      <c r="S520" s="194"/>
      <c r="T520" s="194"/>
      <c r="U520" s="194"/>
      <c r="V520" s="194"/>
      <c r="W520" s="194"/>
      <c r="X520" s="194"/>
      <c r="Y520" s="194"/>
      <c r="Z520" s="194"/>
      <c r="AA520" s="194"/>
      <c r="AB520" s="194"/>
    </row>
    <row r="521" spans="2:28" ht="14.25" customHeight="1">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c r="AA521" s="194"/>
      <c r="AB521" s="194"/>
    </row>
    <row r="522" spans="2:28" ht="14.25" customHeight="1">
      <c r="B522" s="194"/>
      <c r="C522" s="194"/>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c r="AA522" s="194"/>
      <c r="AB522" s="194"/>
    </row>
    <row r="523" spans="2:28" ht="14.25" customHeight="1">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c r="AA523" s="194"/>
      <c r="AB523" s="194"/>
    </row>
    <row r="524" spans="2:28" ht="14.25" customHeight="1">
      <c r="B524" s="194"/>
      <c r="C524" s="194"/>
      <c r="D524" s="194"/>
      <c r="E524" s="194"/>
      <c r="F524" s="194"/>
      <c r="G524" s="194"/>
      <c r="H524" s="194"/>
      <c r="I524" s="194"/>
      <c r="J524" s="194"/>
      <c r="K524" s="194"/>
      <c r="L524" s="194"/>
      <c r="M524" s="194"/>
      <c r="N524" s="194"/>
      <c r="O524" s="194"/>
      <c r="P524" s="194"/>
      <c r="Q524" s="194"/>
      <c r="R524" s="194"/>
      <c r="S524" s="194"/>
      <c r="T524" s="194"/>
      <c r="U524" s="194"/>
      <c r="V524" s="194"/>
      <c r="W524" s="194"/>
      <c r="X524" s="194"/>
      <c r="Y524" s="194"/>
      <c r="Z524" s="194"/>
      <c r="AA524" s="194"/>
      <c r="AB524" s="194"/>
    </row>
    <row r="525" spans="2:28" ht="14.25" customHeight="1">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c r="AA525" s="194"/>
      <c r="AB525" s="194"/>
    </row>
    <row r="526" spans="2:28" ht="14.25" customHeight="1">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c r="AA526" s="194"/>
      <c r="AB526" s="194"/>
    </row>
    <row r="527" spans="2:28" ht="14.25" customHeight="1">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c r="AA527" s="194"/>
      <c r="AB527" s="194"/>
    </row>
    <row r="528" spans="2:28" ht="14.25" customHeight="1">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c r="AA528" s="194"/>
      <c r="AB528" s="194"/>
    </row>
    <row r="529" spans="2:28" ht="14.25" customHeight="1">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c r="AA529" s="194"/>
      <c r="AB529" s="194"/>
    </row>
    <row r="530" spans="2:28" ht="14.25" customHeight="1">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c r="AA530" s="194"/>
      <c r="AB530" s="194"/>
    </row>
    <row r="531" spans="2:28" ht="14.25" customHeight="1">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c r="AA531" s="194"/>
      <c r="AB531" s="194"/>
    </row>
    <row r="532" spans="2:28" ht="14.25" customHeight="1">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c r="AA532" s="194"/>
      <c r="AB532" s="194"/>
    </row>
    <row r="533" spans="2:28" ht="14.25" customHeight="1">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c r="AA533" s="194"/>
      <c r="AB533" s="194"/>
    </row>
    <row r="534" spans="2:28" ht="14.25" customHeight="1">
      <c r="B534" s="194"/>
      <c r="C534" s="194"/>
      <c r="D534" s="194"/>
      <c r="E534" s="194"/>
      <c r="F534" s="194"/>
      <c r="G534" s="194"/>
      <c r="H534" s="194"/>
      <c r="I534" s="194"/>
      <c r="J534" s="194"/>
      <c r="K534" s="194"/>
      <c r="L534" s="194"/>
      <c r="M534" s="194"/>
      <c r="N534" s="194"/>
      <c r="O534" s="194"/>
      <c r="P534" s="194"/>
      <c r="Q534" s="194"/>
      <c r="R534" s="194"/>
      <c r="S534" s="194"/>
      <c r="T534" s="194"/>
      <c r="U534" s="194"/>
      <c r="V534" s="194"/>
      <c r="W534" s="194"/>
      <c r="X534" s="194"/>
      <c r="Y534" s="194"/>
      <c r="Z534" s="194"/>
      <c r="AA534" s="194"/>
      <c r="AB534" s="194"/>
    </row>
    <row r="535" spans="2:28" ht="14.25" customHeight="1">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c r="AA535" s="194"/>
      <c r="AB535" s="194"/>
    </row>
    <row r="536" spans="2:28" ht="14.25" customHeight="1">
      <c r="B536" s="194"/>
      <c r="C536" s="194"/>
      <c r="D536" s="194"/>
      <c r="E536" s="194"/>
      <c r="F536" s="194"/>
      <c r="G536" s="194"/>
      <c r="H536" s="194"/>
      <c r="I536" s="194"/>
      <c r="J536" s="194"/>
      <c r="K536" s="194"/>
      <c r="L536" s="194"/>
      <c r="M536" s="194"/>
      <c r="N536" s="194"/>
      <c r="O536" s="194"/>
      <c r="P536" s="194"/>
      <c r="Q536" s="194"/>
      <c r="R536" s="194"/>
      <c r="S536" s="194"/>
      <c r="T536" s="194"/>
      <c r="U536" s="194"/>
      <c r="V536" s="194"/>
      <c r="W536" s="194"/>
      <c r="X536" s="194"/>
      <c r="Y536" s="194"/>
      <c r="Z536" s="194"/>
      <c r="AA536" s="194"/>
      <c r="AB536" s="194"/>
    </row>
    <row r="537" spans="2:28" ht="14.25" customHeight="1">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c r="AA537" s="194"/>
      <c r="AB537" s="194"/>
    </row>
    <row r="538" spans="2:28" ht="14.25" customHeight="1">
      <c r="B538" s="194"/>
      <c r="C538" s="194"/>
      <c r="D538" s="194"/>
      <c r="E538" s="194"/>
      <c r="F538" s="194"/>
      <c r="G538" s="194"/>
      <c r="H538" s="194"/>
      <c r="I538" s="194"/>
      <c r="J538" s="194"/>
      <c r="K538" s="194"/>
      <c r="L538" s="194"/>
      <c r="M538" s="194"/>
      <c r="N538" s="194"/>
      <c r="O538" s="194"/>
      <c r="P538" s="194"/>
      <c r="Q538" s="194"/>
      <c r="R538" s="194"/>
      <c r="S538" s="194"/>
      <c r="T538" s="194"/>
      <c r="U538" s="194"/>
      <c r="V538" s="194"/>
      <c r="W538" s="194"/>
      <c r="X538" s="194"/>
      <c r="Y538" s="194"/>
      <c r="Z538" s="194"/>
      <c r="AA538" s="194"/>
      <c r="AB538" s="194"/>
    </row>
    <row r="539" spans="2:28" ht="14.25" customHeight="1">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c r="AA539" s="194"/>
      <c r="AB539" s="194"/>
    </row>
    <row r="540" spans="2:28" ht="14.25" customHeight="1">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c r="AA540" s="194"/>
      <c r="AB540" s="194"/>
    </row>
    <row r="541" spans="2:28" ht="14.25" customHeight="1">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c r="AA541" s="194"/>
      <c r="AB541" s="194"/>
    </row>
    <row r="542" spans="2:28" ht="14.25" customHeight="1">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c r="AA542" s="194"/>
      <c r="AB542" s="194"/>
    </row>
    <row r="543" spans="2:28" ht="14.25" customHeight="1">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c r="AA543" s="194"/>
      <c r="AB543" s="194"/>
    </row>
    <row r="544" spans="2:28" ht="14.25" customHeight="1">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c r="AA544" s="194"/>
      <c r="AB544" s="194"/>
    </row>
    <row r="545" spans="2:28" ht="14.25" customHeight="1">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c r="AA545" s="194"/>
      <c r="AB545" s="194"/>
    </row>
    <row r="546" spans="2:28" ht="14.25" customHeight="1">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c r="AA546" s="194"/>
      <c r="AB546" s="194"/>
    </row>
    <row r="547" spans="2:28" ht="14.25" customHeight="1">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c r="AA547" s="194"/>
      <c r="AB547" s="194"/>
    </row>
    <row r="548" spans="2:28" ht="14.25" customHeight="1">
      <c r="B548" s="194"/>
      <c r="C548" s="194"/>
      <c r="D548" s="194"/>
      <c r="E548" s="194"/>
      <c r="F548" s="194"/>
      <c r="G548" s="194"/>
      <c r="H548" s="194"/>
      <c r="I548" s="194"/>
      <c r="J548" s="194"/>
      <c r="K548" s="194"/>
      <c r="L548" s="194"/>
      <c r="M548" s="194"/>
      <c r="N548" s="194"/>
      <c r="O548" s="194"/>
      <c r="P548" s="194"/>
      <c r="Q548" s="194"/>
      <c r="R548" s="194"/>
      <c r="S548" s="194"/>
      <c r="T548" s="194"/>
      <c r="U548" s="194"/>
      <c r="V548" s="194"/>
      <c r="W548" s="194"/>
      <c r="X548" s="194"/>
      <c r="Y548" s="194"/>
      <c r="Z548" s="194"/>
      <c r="AA548" s="194"/>
      <c r="AB548" s="194"/>
    </row>
    <row r="549" spans="2:28" ht="14.25" customHeight="1">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c r="AA549" s="194"/>
      <c r="AB549" s="194"/>
    </row>
    <row r="550" spans="2:28" ht="14.25" customHeight="1">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c r="AA550" s="194"/>
      <c r="AB550" s="194"/>
    </row>
    <row r="551" spans="2:28" ht="14.25" customHeight="1">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c r="AA551" s="194"/>
      <c r="AB551" s="194"/>
    </row>
    <row r="552" spans="2:28" ht="14.25" customHeight="1">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c r="AA552" s="194"/>
      <c r="AB552" s="194"/>
    </row>
    <row r="553" spans="2:28" ht="14.25" customHeight="1">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c r="AA553" s="194"/>
      <c r="AB553" s="194"/>
    </row>
    <row r="554" spans="2:28" ht="14.25" customHeight="1">
      <c r="B554" s="194"/>
      <c r="C554" s="194"/>
      <c r="D554" s="194"/>
      <c r="E554" s="194"/>
      <c r="F554" s="194"/>
      <c r="G554" s="194"/>
      <c r="H554" s="194"/>
      <c r="I554" s="194"/>
      <c r="J554" s="194"/>
      <c r="K554" s="194"/>
      <c r="L554" s="194"/>
      <c r="M554" s="194"/>
      <c r="N554" s="194"/>
      <c r="O554" s="194"/>
      <c r="P554" s="194"/>
      <c r="Q554" s="194"/>
      <c r="R554" s="194"/>
      <c r="S554" s="194"/>
      <c r="T554" s="194"/>
      <c r="U554" s="194"/>
      <c r="V554" s="194"/>
      <c r="W554" s="194"/>
      <c r="X554" s="194"/>
      <c r="Y554" s="194"/>
      <c r="Z554" s="194"/>
      <c r="AA554" s="194"/>
      <c r="AB554" s="194"/>
    </row>
    <row r="555" spans="2:28" ht="14.25" customHeight="1">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c r="AA555" s="194"/>
      <c r="AB555" s="194"/>
    </row>
    <row r="556" spans="2:28" ht="14.25" customHeight="1">
      <c r="B556" s="194"/>
      <c r="C556" s="194"/>
      <c r="D556" s="194"/>
      <c r="E556" s="194"/>
      <c r="F556" s="194"/>
      <c r="G556" s="194"/>
      <c r="H556" s="194"/>
      <c r="I556" s="194"/>
      <c r="J556" s="194"/>
      <c r="K556" s="194"/>
      <c r="L556" s="194"/>
      <c r="M556" s="194"/>
      <c r="N556" s="194"/>
      <c r="O556" s="194"/>
      <c r="P556" s="194"/>
      <c r="Q556" s="194"/>
      <c r="R556" s="194"/>
      <c r="S556" s="194"/>
      <c r="T556" s="194"/>
      <c r="U556" s="194"/>
      <c r="V556" s="194"/>
      <c r="W556" s="194"/>
      <c r="X556" s="194"/>
      <c r="Y556" s="194"/>
      <c r="Z556" s="194"/>
      <c r="AA556" s="194"/>
      <c r="AB556" s="194"/>
    </row>
    <row r="557" spans="2:28" ht="14.25" customHeight="1">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c r="AA557" s="194"/>
      <c r="AB557" s="194"/>
    </row>
    <row r="558" spans="2:28" ht="14.25" customHeight="1">
      <c r="B558" s="194"/>
      <c r="C558" s="194"/>
      <c r="D558" s="194"/>
      <c r="E558" s="194"/>
      <c r="F558" s="194"/>
      <c r="G558" s="194"/>
      <c r="H558" s="194"/>
      <c r="I558" s="194"/>
      <c r="J558" s="194"/>
      <c r="K558" s="194"/>
      <c r="L558" s="194"/>
      <c r="M558" s="194"/>
      <c r="N558" s="194"/>
      <c r="O558" s="194"/>
      <c r="P558" s="194"/>
      <c r="Q558" s="194"/>
      <c r="R558" s="194"/>
      <c r="S558" s="194"/>
      <c r="T558" s="194"/>
      <c r="U558" s="194"/>
      <c r="V558" s="194"/>
      <c r="W558" s="194"/>
      <c r="X558" s="194"/>
      <c r="Y558" s="194"/>
      <c r="Z558" s="194"/>
      <c r="AA558" s="194"/>
      <c r="AB558" s="194"/>
    </row>
    <row r="559" spans="2:28" ht="14.25" customHeight="1">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c r="AA559" s="194"/>
      <c r="AB559" s="194"/>
    </row>
    <row r="560" spans="2:28" ht="14.25" customHeight="1">
      <c r="B560" s="194"/>
      <c r="C560" s="194"/>
      <c r="D560" s="194"/>
      <c r="E560" s="194"/>
      <c r="F560" s="194"/>
      <c r="G560" s="194"/>
      <c r="H560" s="194"/>
      <c r="I560" s="194"/>
      <c r="J560" s="194"/>
      <c r="K560" s="194"/>
      <c r="L560" s="194"/>
      <c r="M560" s="194"/>
      <c r="N560" s="194"/>
      <c r="O560" s="194"/>
      <c r="P560" s="194"/>
      <c r="Q560" s="194"/>
      <c r="R560" s="194"/>
      <c r="S560" s="194"/>
      <c r="T560" s="194"/>
      <c r="U560" s="194"/>
      <c r="V560" s="194"/>
      <c r="W560" s="194"/>
      <c r="X560" s="194"/>
      <c r="Y560" s="194"/>
      <c r="Z560" s="194"/>
      <c r="AA560" s="194"/>
      <c r="AB560" s="194"/>
    </row>
    <row r="561" spans="2:28" ht="14.25" customHeight="1">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c r="AA561" s="194"/>
      <c r="AB561" s="194"/>
    </row>
    <row r="562" spans="2:28" ht="14.25" customHeight="1">
      <c r="B562" s="194"/>
      <c r="C562" s="194"/>
      <c r="D562" s="194"/>
      <c r="E562" s="194"/>
      <c r="F562" s="194"/>
      <c r="G562" s="194"/>
      <c r="H562" s="194"/>
      <c r="I562" s="194"/>
      <c r="J562" s="194"/>
      <c r="K562" s="194"/>
      <c r="L562" s="194"/>
      <c r="M562" s="194"/>
      <c r="N562" s="194"/>
      <c r="O562" s="194"/>
      <c r="P562" s="194"/>
      <c r="Q562" s="194"/>
      <c r="R562" s="194"/>
      <c r="S562" s="194"/>
      <c r="T562" s="194"/>
      <c r="U562" s="194"/>
      <c r="V562" s="194"/>
      <c r="W562" s="194"/>
      <c r="X562" s="194"/>
      <c r="Y562" s="194"/>
      <c r="Z562" s="194"/>
      <c r="AA562" s="194"/>
      <c r="AB562" s="194"/>
    </row>
    <row r="563" spans="2:28" ht="14.25" customHeight="1">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c r="AA563" s="194"/>
      <c r="AB563" s="194"/>
    </row>
    <row r="564" spans="2:28" ht="14.25" customHeight="1">
      <c r="B564" s="194"/>
      <c r="C564" s="194"/>
      <c r="D564" s="194"/>
      <c r="E564" s="194"/>
      <c r="F564" s="194"/>
      <c r="G564" s="194"/>
      <c r="H564" s="194"/>
      <c r="I564" s="194"/>
      <c r="J564" s="194"/>
      <c r="K564" s="194"/>
      <c r="L564" s="194"/>
      <c r="M564" s="194"/>
      <c r="N564" s="194"/>
      <c r="O564" s="194"/>
      <c r="P564" s="194"/>
      <c r="Q564" s="194"/>
      <c r="R564" s="194"/>
      <c r="S564" s="194"/>
      <c r="T564" s="194"/>
      <c r="U564" s="194"/>
      <c r="V564" s="194"/>
      <c r="W564" s="194"/>
      <c r="X564" s="194"/>
      <c r="Y564" s="194"/>
      <c r="Z564" s="194"/>
      <c r="AA564" s="194"/>
      <c r="AB564" s="194"/>
    </row>
    <row r="565" spans="2:28" ht="14.25" customHeight="1">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c r="AA565" s="194"/>
      <c r="AB565" s="194"/>
    </row>
    <row r="566" spans="2:28" ht="14.25" customHeight="1">
      <c r="B566" s="194"/>
      <c r="C566" s="194"/>
      <c r="D566" s="194"/>
      <c r="E566" s="194"/>
      <c r="F566" s="194"/>
      <c r="G566" s="194"/>
      <c r="H566" s="194"/>
      <c r="I566" s="194"/>
      <c r="J566" s="194"/>
      <c r="K566" s="194"/>
      <c r="L566" s="194"/>
      <c r="M566" s="194"/>
      <c r="N566" s="194"/>
      <c r="O566" s="194"/>
      <c r="P566" s="194"/>
      <c r="Q566" s="194"/>
      <c r="R566" s="194"/>
      <c r="S566" s="194"/>
      <c r="T566" s="194"/>
      <c r="U566" s="194"/>
      <c r="V566" s="194"/>
      <c r="W566" s="194"/>
      <c r="X566" s="194"/>
      <c r="Y566" s="194"/>
      <c r="Z566" s="194"/>
      <c r="AA566" s="194"/>
      <c r="AB566" s="194"/>
    </row>
    <row r="567" spans="2:28" ht="14.25" customHeight="1">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c r="AA567" s="194"/>
      <c r="AB567" s="194"/>
    </row>
    <row r="568" spans="2:28" ht="14.25" customHeight="1">
      <c r="B568" s="194"/>
      <c r="C568" s="194"/>
      <c r="D568" s="194"/>
      <c r="E568" s="194"/>
      <c r="F568" s="194"/>
      <c r="G568" s="194"/>
      <c r="H568" s="194"/>
      <c r="I568" s="194"/>
      <c r="J568" s="194"/>
      <c r="K568" s="194"/>
      <c r="L568" s="194"/>
      <c r="M568" s="194"/>
      <c r="N568" s="194"/>
      <c r="O568" s="194"/>
      <c r="P568" s="194"/>
      <c r="Q568" s="194"/>
      <c r="R568" s="194"/>
      <c r="S568" s="194"/>
      <c r="T568" s="194"/>
      <c r="U568" s="194"/>
      <c r="V568" s="194"/>
      <c r="W568" s="194"/>
      <c r="X568" s="194"/>
      <c r="Y568" s="194"/>
      <c r="Z568" s="194"/>
      <c r="AA568" s="194"/>
      <c r="AB568" s="194"/>
    </row>
    <row r="569" spans="2:28" ht="14.25" customHeight="1">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c r="AA569" s="194"/>
      <c r="AB569" s="194"/>
    </row>
    <row r="570" spans="2:28" ht="14.25" customHeight="1">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c r="AA570" s="194"/>
      <c r="AB570" s="194"/>
    </row>
    <row r="571" spans="2:28" ht="14.25" customHeight="1">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c r="AA571" s="194"/>
      <c r="AB571" s="194"/>
    </row>
    <row r="572" spans="2:28" ht="14.25" customHeight="1">
      <c r="B572" s="194"/>
      <c r="C572" s="194"/>
      <c r="D572" s="194"/>
      <c r="E572" s="194"/>
      <c r="F572" s="194"/>
      <c r="G572" s="194"/>
      <c r="H572" s="194"/>
      <c r="I572" s="194"/>
      <c r="J572" s="194"/>
      <c r="K572" s="194"/>
      <c r="L572" s="194"/>
      <c r="M572" s="194"/>
      <c r="N572" s="194"/>
      <c r="O572" s="194"/>
      <c r="P572" s="194"/>
      <c r="Q572" s="194"/>
      <c r="R572" s="194"/>
      <c r="S572" s="194"/>
      <c r="T572" s="194"/>
      <c r="U572" s="194"/>
      <c r="V572" s="194"/>
      <c r="W572" s="194"/>
      <c r="X572" s="194"/>
      <c r="Y572" s="194"/>
      <c r="Z572" s="194"/>
      <c r="AA572" s="194"/>
      <c r="AB572" s="194"/>
    </row>
    <row r="573" spans="2:28" ht="14.25" customHeight="1">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c r="AA573" s="194"/>
      <c r="AB573" s="194"/>
    </row>
    <row r="574" spans="2:28" ht="14.25" customHeight="1">
      <c r="B574" s="194"/>
      <c r="C574" s="194"/>
      <c r="D574" s="194"/>
      <c r="E574" s="194"/>
      <c r="F574" s="194"/>
      <c r="G574" s="194"/>
      <c r="H574" s="194"/>
      <c r="I574" s="194"/>
      <c r="J574" s="194"/>
      <c r="K574" s="194"/>
      <c r="L574" s="194"/>
      <c r="M574" s="194"/>
      <c r="N574" s="194"/>
      <c r="O574" s="194"/>
      <c r="P574" s="194"/>
      <c r="Q574" s="194"/>
      <c r="R574" s="194"/>
      <c r="S574" s="194"/>
      <c r="T574" s="194"/>
      <c r="U574" s="194"/>
      <c r="V574" s="194"/>
      <c r="W574" s="194"/>
      <c r="X574" s="194"/>
      <c r="Y574" s="194"/>
      <c r="Z574" s="194"/>
      <c r="AA574" s="194"/>
      <c r="AB574" s="194"/>
    </row>
    <row r="575" spans="2:28" ht="14.25" customHeight="1">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c r="AA575" s="194"/>
      <c r="AB575" s="194"/>
    </row>
    <row r="576" spans="2:28" ht="14.25" customHeight="1">
      <c r="B576" s="194"/>
      <c r="C576" s="194"/>
      <c r="D576" s="194"/>
      <c r="E576" s="194"/>
      <c r="F576" s="194"/>
      <c r="G576" s="194"/>
      <c r="H576" s="194"/>
      <c r="I576" s="194"/>
      <c r="J576" s="194"/>
      <c r="K576" s="194"/>
      <c r="L576" s="194"/>
      <c r="M576" s="194"/>
      <c r="N576" s="194"/>
      <c r="O576" s="194"/>
      <c r="P576" s="194"/>
      <c r="Q576" s="194"/>
      <c r="R576" s="194"/>
      <c r="S576" s="194"/>
      <c r="T576" s="194"/>
      <c r="U576" s="194"/>
      <c r="V576" s="194"/>
      <c r="W576" s="194"/>
      <c r="X576" s="194"/>
      <c r="Y576" s="194"/>
      <c r="Z576" s="194"/>
      <c r="AA576" s="194"/>
      <c r="AB576" s="194"/>
    </row>
    <row r="577" spans="2:28" ht="14.25" customHeight="1">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c r="AA577" s="194"/>
      <c r="AB577" s="194"/>
    </row>
    <row r="578" spans="2:28" ht="14.25" customHeight="1">
      <c r="B578" s="194"/>
      <c r="C578" s="194"/>
      <c r="D578" s="194"/>
      <c r="E578" s="194"/>
      <c r="F578" s="194"/>
      <c r="G578" s="194"/>
      <c r="H578" s="194"/>
      <c r="I578" s="194"/>
      <c r="J578" s="194"/>
      <c r="K578" s="194"/>
      <c r="L578" s="194"/>
      <c r="M578" s="194"/>
      <c r="N578" s="194"/>
      <c r="O578" s="194"/>
      <c r="P578" s="194"/>
      <c r="Q578" s="194"/>
      <c r="R578" s="194"/>
      <c r="S578" s="194"/>
      <c r="T578" s="194"/>
      <c r="U578" s="194"/>
      <c r="V578" s="194"/>
      <c r="W578" s="194"/>
      <c r="X578" s="194"/>
      <c r="Y578" s="194"/>
      <c r="Z578" s="194"/>
      <c r="AA578" s="194"/>
      <c r="AB578" s="194"/>
    </row>
    <row r="579" spans="2:28" ht="14.25" customHeight="1">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c r="AA579" s="194"/>
      <c r="AB579" s="194"/>
    </row>
    <row r="580" spans="2:28" ht="14.25" customHeight="1">
      <c r="B580" s="194"/>
      <c r="C580" s="194"/>
      <c r="D580" s="194"/>
      <c r="E580" s="194"/>
      <c r="F580" s="194"/>
      <c r="G580" s="194"/>
      <c r="H580" s="194"/>
      <c r="I580" s="194"/>
      <c r="J580" s="194"/>
      <c r="K580" s="194"/>
      <c r="L580" s="194"/>
      <c r="M580" s="194"/>
      <c r="N580" s="194"/>
      <c r="O580" s="194"/>
      <c r="P580" s="194"/>
      <c r="Q580" s="194"/>
      <c r="R580" s="194"/>
      <c r="S580" s="194"/>
      <c r="T580" s="194"/>
      <c r="U580" s="194"/>
      <c r="V580" s="194"/>
      <c r="W580" s="194"/>
      <c r="X580" s="194"/>
      <c r="Y580" s="194"/>
      <c r="Z580" s="194"/>
      <c r="AA580" s="194"/>
      <c r="AB580" s="194"/>
    </row>
    <row r="581" spans="2:28" ht="14.25" customHeight="1">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c r="AA581" s="194"/>
      <c r="AB581" s="194"/>
    </row>
    <row r="582" spans="2:28" ht="14.25" customHeight="1">
      <c r="B582" s="194"/>
      <c r="C582" s="194"/>
      <c r="D582" s="194"/>
      <c r="E582" s="194"/>
      <c r="F582" s="194"/>
      <c r="G582" s="194"/>
      <c r="H582" s="194"/>
      <c r="I582" s="194"/>
      <c r="J582" s="194"/>
      <c r="K582" s="194"/>
      <c r="L582" s="194"/>
      <c r="M582" s="194"/>
      <c r="N582" s="194"/>
      <c r="O582" s="194"/>
      <c r="P582" s="194"/>
      <c r="Q582" s="194"/>
      <c r="R582" s="194"/>
      <c r="S582" s="194"/>
      <c r="T582" s="194"/>
      <c r="U582" s="194"/>
      <c r="V582" s="194"/>
      <c r="W582" s="194"/>
      <c r="X582" s="194"/>
      <c r="Y582" s="194"/>
      <c r="Z582" s="194"/>
      <c r="AA582" s="194"/>
      <c r="AB582" s="194"/>
    </row>
    <row r="583" spans="2:28" ht="14.25" customHeight="1">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c r="AA583" s="194"/>
      <c r="AB583" s="194"/>
    </row>
    <row r="584" spans="2:28" ht="14.25" customHeight="1">
      <c r="B584" s="194"/>
      <c r="C584" s="194"/>
      <c r="D584" s="194"/>
      <c r="E584" s="194"/>
      <c r="F584" s="194"/>
      <c r="G584" s="194"/>
      <c r="H584" s="194"/>
      <c r="I584" s="194"/>
      <c r="J584" s="194"/>
      <c r="K584" s="194"/>
      <c r="L584" s="194"/>
      <c r="M584" s="194"/>
      <c r="N584" s="194"/>
      <c r="O584" s="194"/>
      <c r="P584" s="194"/>
      <c r="Q584" s="194"/>
      <c r="R584" s="194"/>
      <c r="S584" s="194"/>
      <c r="T584" s="194"/>
      <c r="U584" s="194"/>
      <c r="V584" s="194"/>
      <c r="W584" s="194"/>
      <c r="X584" s="194"/>
      <c r="Y584" s="194"/>
      <c r="Z584" s="194"/>
      <c r="AA584" s="194"/>
      <c r="AB584" s="194"/>
    </row>
    <row r="585" spans="2:28" ht="14.25" customHeight="1">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c r="AA585" s="194"/>
      <c r="AB585" s="194"/>
    </row>
    <row r="586" spans="2:28" ht="14.25" customHeight="1">
      <c r="B586" s="194"/>
      <c r="C586" s="194"/>
      <c r="D586" s="194"/>
      <c r="E586" s="194"/>
      <c r="F586" s="194"/>
      <c r="G586" s="194"/>
      <c r="H586" s="194"/>
      <c r="I586" s="194"/>
      <c r="J586" s="194"/>
      <c r="K586" s="194"/>
      <c r="L586" s="194"/>
      <c r="M586" s="194"/>
      <c r="N586" s="194"/>
      <c r="O586" s="194"/>
      <c r="P586" s="194"/>
      <c r="Q586" s="194"/>
      <c r="R586" s="194"/>
      <c r="S586" s="194"/>
      <c r="T586" s="194"/>
      <c r="U586" s="194"/>
      <c r="V586" s="194"/>
      <c r="W586" s="194"/>
      <c r="X586" s="194"/>
      <c r="Y586" s="194"/>
      <c r="Z586" s="194"/>
      <c r="AA586" s="194"/>
      <c r="AB586" s="194"/>
    </row>
    <row r="587" spans="2:28" ht="14.25" customHeight="1">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c r="AA587" s="194"/>
      <c r="AB587" s="194"/>
    </row>
    <row r="588" spans="2:28" ht="14.25" customHeight="1">
      <c r="B588" s="194"/>
      <c r="C588" s="194"/>
      <c r="D588" s="194"/>
      <c r="E588" s="194"/>
      <c r="F588" s="194"/>
      <c r="G588" s="194"/>
      <c r="H588" s="194"/>
      <c r="I588" s="194"/>
      <c r="J588" s="194"/>
      <c r="K588" s="194"/>
      <c r="L588" s="194"/>
      <c r="M588" s="194"/>
      <c r="N588" s="194"/>
      <c r="O588" s="194"/>
      <c r="P588" s="194"/>
      <c r="Q588" s="194"/>
      <c r="R588" s="194"/>
      <c r="S588" s="194"/>
      <c r="T588" s="194"/>
      <c r="U588" s="194"/>
      <c r="V588" s="194"/>
      <c r="W588" s="194"/>
      <c r="X588" s="194"/>
      <c r="Y588" s="194"/>
      <c r="Z588" s="194"/>
      <c r="AA588" s="194"/>
      <c r="AB588" s="194"/>
    </row>
    <row r="589" spans="2:28" ht="14.25" customHeight="1">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c r="AA589" s="194"/>
      <c r="AB589" s="194"/>
    </row>
    <row r="590" spans="2:28" ht="14.25" customHeight="1">
      <c r="B590" s="194"/>
      <c r="C590" s="194"/>
      <c r="D590" s="194"/>
      <c r="E590" s="194"/>
      <c r="F590" s="194"/>
      <c r="G590" s="194"/>
      <c r="H590" s="194"/>
      <c r="I590" s="194"/>
      <c r="J590" s="194"/>
      <c r="K590" s="194"/>
      <c r="L590" s="194"/>
      <c r="M590" s="194"/>
      <c r="N590" s="194"/>
      <c r="O590" s="194"/>
      <c r="P590" s="194"/>
      <c r="Q590" s="194"/>
      <c r="R590" s="194"/>
      <c r="S590" s="194"/>
      <c r="T590" s="194"/>
      <c r="U590" s="194"/>
      <c r="V590" s="194"/>
      <c r="W590" s="194"/>
      <c r="X590" s="194"/>
      <c r="Y590" s="194"/>
      <c r="Z590" s="194"/>
      <c r="AA590" s="194"/>
      <c r="AB590" s="194"/>
    </row>
    <row r="591" spans="2:28" ht="14.25" customHeight="1">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c r="AA591" s="194"/>
      <c r="AB591" s="194"/>
    </row>
    <row r="592" spans="2:28" ht="14.25" customHeight="1">
      <c r="B592" s="194"/>
      <c r="C592" s="194"/>
      <c r="D592" s="194"/>
      <c r="E592" s="194"/>
      <c r="F592" s="194"/>
      <c r="G592" s="194"/>
      <c r="H592" s="194"/>
      <c r="I592" s="194"/>
      <c r="J592" s="194"/>
      <c r="K592" s="194"/>
      <c r="L592" s="194"/>
      <c r="M592" s="194"/>
      <c r="N592" s="194"/>
      <c r="O592" s="194"/>
      <c r="P592" s="194"/>
      <c r="Q592" s="194"/>
      <c r="R592" s="194"/>
      <c r="S592" s="194"/>
      <c r="T592" s="194"/>
      <c r="U592" s="194"/>
      <c r="V592" s="194"/>
      <c r="W592" s="194"/>
      <c r="X592" s="194"/>
      <c r="Y592" s="194"/>
      <c r="Z592" s="194"/>
      <c r="AA592" s="194"/>
      <c r="AB592" s="194"/>
    </row>
    <row r="593" spans="2:28" ht="14.25" customHeight="1">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c r="AA593" s="194"/>
      <c r="AB593" s="194"/>
    </row>
    <row r="594" spans="2:28" ht="14.25" customHeight="1">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c r="AA594" s="194"/>
      <c r="AB594" s="194"/>
    </row>
    <row r="595" spans="2:28" ht="14.25" customHeight="1">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c r="AA595" s="194"/>
      <c r="AB595" s="194"/>
    </row>
    <row r="596" spans="2:28" ht="14.25" customHeight="1">
      <c r="B596" s="194"/>
      <c r="C596" s="194"/>
      <c r="D596" s="194"/>
      <c r="E596" s="194"/>
      <c r="F596" s="194"/>
      <c r="G596" s="194"/>
      <c r="H596" s="194"/>
      <c r="I596" s="194"/>
      <c r="J596" s="194"/>
      <c r="K596" s="194"/>
      <c r="L596" s="194"/>
      <c r="M596" s="194"/>
      <c r="N596" s="194"/>
      <c r="O596" s="194"/>
      <c r="P596" s="194"/>
      <c r="Q596" s="194"/>
      <c r="R596" s="194"/>
      <c r="S596" s="194"/>
      <c r="T596" s="194"/>
      <c r="U596" s="194"/>
      <c r="V596" s="194"/>
      <c r="W596" s="194"/>
      <c r="X596" s="194"/>
      <c r="Y596" s="194"/>
      <c r="Z596" s="194"/>
      <c r="AA596" s="194"/>
      <c r="AB596" s="194"/>
    </row>
    <row r="597" spans="2:28" ht="14.25" customHeight="1">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c r="AA597" s="194"/>
      <c r="AB597" s="194"/>
    </row>
    <row r="598" spans="2:28" ht="14.25" customHeight="1">
      <c r="B598" s="194"/>
      <c r="C598" s="194"/>
      <c r="D598" s="194"/>
      <c r="E598" s="194"/>
      <c r="F598" s="194"/>
      <c r="G598" s="194"/>
      <c r="H598" s="194"/>
      <c r="I598" s="194"/>
      <c r="J598" s="194"/>
      <c r="K598" s="194"/>
      <c r="L598" s="194"/>
      <c r="M598" s="194"/>
      <c r="N598" s="194"/>
      <c r="O598" s="194"/>
      <c r="P598" s="194"/>
      <c r="Q598" s="194"/>
      <c r="R598" s="194"/>
      <c r="S598" s="194"/>
      <c r="T598" s="194"/>
      <c r="U598" s="194"/>
      <c r="V598" s="194"/>
      <c r="W598" s="194"/>
      <c r="X598" s="194"/>
      <c r="Y598" s="194"/>
      <c r="Z598" s="194"/>
      <c r="AA598" s="194"/>
      <c r="AB598" s="194"/>
    </row>
    <row r="599" spans="2:28" ht="14.25" customHeight="1">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c r="AA599" s="194"/>
      <c r="AB599" s="194"/>
    </row>
    <row r="600" spans="2:28" ht="14.25" customHeight="1">
      <c r="B600" s="194"/>
      <c r="C600" s="194"/>
      <c r="D600" s="194"/>
      <c r="E600" s="194"/>
      <c r="F600" s="194"/>
      <c r="G600" s="194"/>
      <c r="H600" s="194"/>
      <c r="I600" s="194"/>
      <c r="J600" s="194"/>
      <c r="K600" s="194"/>
      <c r="L600" s="194"/>
      <c r="M600" s="194"/>
      <c r="N600" s="194"/>
      <c r="O600" s="194"/>
      <c r="P600" s="194"/>
      <c r="Q600" s="194"/>
      <c r="R600" s="194"/>
      <c r="S600" s="194"/>
      <c r="T600" s="194"/>
      <c r="U600" s="194"/>
      <c r="V600" s="194"/>
      <c r="W600" s="194"/>
      <c r="X600" s="194"/>
      <c r="Y600" s="194"/>
      <c r="Z600" s="194"/>
      <c r="AA600" s="194"/>
      <c r="AB600" s="194"/>
    </row>
    <row r="601" spans="2:28" ht="14.25" customHeight="1">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c r="AA601" s="194"/>
      <c r="AB601" s="194"/>
    </row>
    <row r="602" spans="2:28" ht="14.25" customHeight="1">
      <c r="B602" s="194"/>
      <c r="C602" s="194"/>
      <c r="D602" s="194"/>
      <c r="E602" s="194"/>
      <c r="F602" s="194"/>
      <c r="G602" s="194"/>
      <c r="H602" s="194"/>
      <c r="I602" s="194"/>
      <c r="J602" s="194"/>
      <c r="K602" s="194"/>
      <c r="L602" s="194"/>
      <c r="M602" s="194"/>
      <c r="N602" s="194"/>
      <c r="O602" s="194"/>
      <c r="P602" s="194"/>
      <c r="Q602" s="194"/>
      <c r="R602" s="194"/>
      <c r="S602" s="194"/>
      <c r="T602" s="194"/>
      <c r="U602" s="194"/>
      <c r="V602" s="194"/>
      <c r="W602" s="194"/>
      <c r="X602" s="194"/>
      <c r="Y602" s="194"/>
      <c r="Z602" s="194"/>
      <c r="AA602" s="194"/>
      <c r="AB602" s="194"/>
    </row>
    <row r="603" spans="2:28" ht="14.25" customHeight="1">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c r="AA603" s="194"/>
      <c r="AB603" s="194"/>
    </row>
    <row r="604" spans="2:28" ht="14.25" customHeight="1">
      <c r="B604" s="194"/>
      <c r="C604" s="194"/>
      <c r="D604" s="194"/>
      <c r="E604" s="194"/>
      <c r="F604" s="194"/>
      <c r="G604" s="194"/>
      <c r="H604" s="194"/>
      <c r="I604" s="194"/>
      <c r="J604" s="194"/>
      <c r="K604" s="194"/>
      <c r="L604" s="194"/>
      <c r="M604" s="194"/>
      <c r="N604" s="194"/>
      <c r="O604" s="194"/>
      <c r="P604" s="194"/>
      <c r="Q604" s="194"/>
      <c r="R604" s="194"/>
      <c r="S604" s="194"/>
      <c r="T604" s="194"/>
      <c r="U604" s="194"/>
      <c r="V604" s="194"/>
      <c r="W604" s="194"/>
      <c r="X604" s="194"/>
      <c r="Y604" s="194"/>
      <c r="Z604" s="194"/>
      <c r="AA604" s="194"/>
      <c r="AB604" s="194"/>
    </row>
    <row r="605" spans="2:28" ht="14.25" customHeight="1">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c r="AA605" s="194"/>
      <c r="AB605" s="194"/>
    </row>
    <row r="606" spans="2:28" ht="14.25" customHeight="1">
      <c r="B606" s="194"/>
      <c r="C606" s="194"/>
      <c r="D606" s="194"/>
      <c r="E606" s="194"/>
      <c r="F606" s="194"/>
      <c r="G606" s="194"/>
      <c r="H606" s="194"/>
      <c r="I606" s="194"/>
      <c r="J606" s="194"/>
      <c r="K606" s="194"/>
      <c r="L606" s="194"/>
      <c r="M606" s="194"/>
      <c r="N606" s="194"/>
      <c r="O606" s="194"/>
      <c r="P606" s="194"/>
      <c r="Q606" s="194"/>
      <c r="R606" s="194"/>
      <c r="S606" s="194"/>
      <c r="T606" s="194"/>
      <c r="U606" s="194"/>
      <c r="V606" s="194"/>
      <c r="W606" s="194"/>
      <c r="X606" s="194"/>
      <c r="Y606" s="194"/>
      <c r="Z606" s="194"/>
      <c r="AA606" s="194"/>
      <c r="AB606" s="194"/>
    </row>
    <row r="607" spans="2:28" ht="14.25" customHeight="1">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c r="AA607" s="194"/>
      <c r="AB607" s="194"/>
    </row>
    <row r="608" spans="2:28" ht="14.25" customHeight="1">
      <c r="B608" s="194"/>
      <c r="C608" s="194"/>
      <c r="D608" s="194"/>
      <c r="E608" s="194"/>
      <c r="F608" s="194"/>
      <c r="G608" s="194"/>
      <c r="H608" s="194"/>
      <c r="I608" s="194"/>
      <c r="J608" s="194"/>
      <c r="K608" s="194"/>
      <c r="L608" s="194"/>
      <c r="M608" s="194"/>
      <c r="N608" s="194"/>
      <c r="O608" s="194"/>
      <c r="P608" s="194"/>
      <c r="Q608" s="194"/>
      <c r="R608" s="194"/>
      <c r="S608" s="194"/>
      <c r="T608" s="194"/>
      <c r="U608" s="194"/>
      <c r="V608" s="194"/>
      <c r="W608" s="194"/>
      <c r="X608" s="194"/>
      <c r="Y608" s="194"/>
      <c r="Z608" s="194"/>
      <c r="AA608" s="194"/>
      <c r="AB608" s="194"/>
    </row>
    <row r="609" spans="2:28" ht="14.25" customHeight="1">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c r="AA609" s="194"/>
      <c r="AB609" s="194"/>
    </row>
    <row r="610" spans="2:28" ht="14.25" customHeight="1">
      <c r="B610" s="194"/>
      <c r="C610" s="194"/>
      <c r="D610" s="194"/>
      <c r="E610" s="194"/>
      <c r="F610" s="194"/>
      <c r="G610" s="194"/>
      <c r="H610" s="194"/>
      <c r="I610" s="194"/>
      <c r="J610" s="194"/>
      <c r="K610" s="194"/>
      <c r="L610" s="194"/>
      <c r="M610" s="194"/>
      <c r="N610" s="194"/>
      <c r="O610" s="194"/>
      <c r="P610" s="194"/>
      <c r="Q610" s="194"/>
      <c r="R610" s="194"/>
      <c r="S610" s="194"/>
      <c r="T610" s="194"/>
      <c r="U610" s="194"/>
      <c r="V610" s="194"/>
      <c r="W610" s="194"/>
      <c r="X610" s="194"/>
      <c r="Y610" s="194"/>
      <c r="Z610" s="194"/>
      <c r="AA610" s="194"/>
      <c r="AB610" s="194"/>
    </row>
    <row r="611" spans="2:28" ht="14.25" customHeight="1">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c r="AA611" s="194"/>
      <c r="AB611" s="194"/>
    </row>
    <row r="612" spans="2:28" ht="14.25" customHeight="1">
      <c r="B612" s="194"/>
      <c r="C612" s="194"/>
      <c r="D612" s="194"/>
      <c r="E612" s="194"/>
      <c r="F612" s="194"/>
      <c r="G612" s="194"/>
      <c r="H612" s="194"/>
      <c r="I612" s="194"/>
      <c r="J612" s="194"/>
      <c r="K612" s="194"/>
      <c r="L612" s="194"/>
      <c r="M612" s="194"/>
      <c r="N612" s="194"/>
      <c r="O612" s="194"/>
      <c r="P612" s="194"/>
      <c r="Q612" s="194"/>
      <c r="R612" s="194"/>
      <c r="S612" s="194"/>
      <c r="T612" s="194"/>
      <c r="U612" s="194"/>
      <c r="V612" s="194"/>
      <c r="W612" s="194"/>
      <c r="X612" s="194"/>
      <c r="Y612" s="194"/>
      <c r="Z612" s="194"/>
      <c r="AA612" s="194"/>
      <c r="AB612" s="194"/>
    </row>
    <row r="613" spans="2:28" ht="14.25" customHeight="1">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c r="AA613" s="194"/>
      <c r="AB613" s="194"/>
    </row>
    <row r="614" spans="2:28" ht="14.25" customHeight="1">
      <c r="B614" s="194"/>
      <c r="C614" s="194"/>
      <c r="D614" s="194"/>
      <c r="E614" s="194"/>
      <c r="F614" s="194"/>
      <c r="G614" s="194"/>
      <c r="H614" s="194"/>
      <c r="I614" s="194"/>
      <c r="J614" s="194"/>
      <c r="K614" s="194"/>
      <c r="L614" s="194"/>
      <c r="M614" s="194"/>
      <c r="N614" s="194"/>
      <c r="O614" s="194"/>
      <c r="P614" s="194"/>
      <c r="Q614" s="194"/>
      <c r="R614" s="194"/>
      <c r="S614" s="194"/>
      <c r="T614" s="194"/>
      <c r="U614" s="194"/>
      <c r="V614" s="194"/>
      <c r="W614" s="194"/>
      <c r="X614" s="194"/>
      <c r="Y614" s="194"/>
      <c r="Z614" s="194"/>
      <c r="AA614" s="194"/>
      <c r="AB614" s="194"/>
    </row>
    <row r="615" spans="2:28" ht="14.25" customHeight="1">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c r="AA615" s="194"/>
      <c r="AB615" s="194"/>
    </row>
    <row r="616" spans="2:28" ht="14.25" customHeight="1">
      <c r="B616" s="194"/>
      <c r="C616" s="194"/>
      <c r="D616" s="194"/>
      <c r="E616" s="194"/>
      <c r="F616" s="194"/>
      <c r="G616" s="194"/>
      <c r="H616" s="194"/>
      <c r="I616" s="194"/>
      <c r="J616" s="194"/>
      <c r="K616" s="194"/>
      <c r="L616" s="194"/>
      <c r="M616" s="194"/>
      <c r="N616" s="194"/>
      <c r="O616" s="194"/>
      <c r="P616" s="194"/>
      <c r="Q616" s="194"/>
      <c r="R616" s="194"/>
      <c r="S616" s="194"/>
      <c r="T616" s="194"/>
      <c r="U616" s="194"/>
      <c r="V616" s="194"/>
      <c r="W616" s="194"/>
      <c r="X616" s="194"/>
      <c r="Y616" s="194"/>
      <c r="Z616" s="194"/>
      <c r="AA616" s="194"/>
      <c r="AB616" s="194"/>
    </row>
    <row r="617" spans="2:28" ht="14.25" customHeight="1">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c r="AA617" s="194"/>
      <c r="AB617" s="194"/>
    </row>
    <row r="618" spans="2:28" ht="14.25" customHeight="1">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c r="AA618" s="194"/>
      <c r="AB618" s="194"/>
    </row>
    <row r="619" spans="2:28" ht="14.25" customHeight="1">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c r="AA619" s="194"/>
      <c r="AB619" s="194"/>
    </row>
    <row r="620" spans="2:28" ht="14.25" customHeight="1">
      <c r="B620" s="194"/>
      <c r="C620" s="194"/>
      <c r="D620" s="194"/>
      <c r="E620" s="194"/>
      <c r="F620" s="194"/>
      <c r="G620" s="194"/>
      <c r="H620" s="194"/>
      <c r="I620" s="194"/>
      <c r="J620" s="194"/>
      <c r="K620" s="194"/>
      <c r="L620" s="194"/>
      <c r="M620" s="194"/>
      <c r="N620" s="194"/>
      <c r="O620" s="194"/>
      <c r="P620" s="194"/>
      <c r="Q620" s="194"/>
      <c r="R620" s="194"/>
      <c r="S620" s="194"/>
      <c r="T620" s="194"/>
      <c r="U620" s="194"/>
      <c r="V620" s="194"/>
      <c r="W620" s="194"/>
      <c r="X620" s="194"/>
      <c r="Y620" s="194"/>
      <c r="Z620" s="194"/>
      <c r="AA620" s="194"/>
      <c r="AB620" s="194"/>
    </row>
    <row r="621" spans="2:28" ht="14.25" customHeight="1">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c r="AA621" s="194"/>
      <c r="AB621" s="194"/>
    </row>
    <row r="622" spans="2:28" ht="14.25" customHeight="1">
      <c r="B622" s="194"/>
      <c r="C622" s="194"/>
      <c r="D622" s="194"/>
      <c r="E622" s="194"/>
      <c r="F622" s="194"/>
      <c r="G622" s="194"/>
      <c r="H622" s="194"/>
      <c r="I622" s="194"/>
      <c r="J622" s="194"/>
      <c r="K622" s="194"/>
      <c r="L622" s="194"/>
      <c r="M622" s="194"/>
      <c r="N622" s="194"/>
      <c r="O622" s="194"/>
      <c r="P622" s="194"/>
      <c r="Q622" s="194"/>
      <c r="R622" s="194"/>
      <c r="S622" s="194"/>
      <c r="T622" s="194"/>
      <c r="U622" s="194"/>
      <c r="V622" s="194"/>
      <c r="W622" s="194"/>
      <c r="X622" s="194"/>
      <c r="Y622" s="194"/>
      <c r="Z622" s="194"/>
      <c r="AA622" s="194"/>
      <c r="AB622" s="194"/>
    </row>
    <row r="623" spans="2:28" ht="14.25" customHeight="1">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c r="AA623" s="194"/>
      <c r="AB623" s="194"/>
    </row>
    <row r="624" spans="2:28" ht="14.25" customHeight="1">
      <c r="B624" s="194"/>
      <c r="C624" s="194"/>
      <c r="D624" s="194"/>
      <c r="E624" s="194"/>
      <c r="F624" s="194"/>
      <c r="G624" s="194"/>
      <c r="H624" s="194"/>
      <c r="I624" s="194"/>
      <c r="J624" s="194"/>
      <c r="K624" s="194"/>
      <c r="L624" s="194"/>
      <c r="M624" s="194"/>
      <c r="N624" s="194"/>
      <c r="O624" s="194"/>
      <c r="P624" s="194"/>
      <c r="Q624" s="194"/>
      <c r="R624" s="194"/>
      <c r="S624" s="194"/>
      <c r="T624" s="194"/>
      <c r="U624" s="194"/>
      <c r="V624" s="194"/>
      <c r="W624" s="194"/>
      <c r="X624" s="194"/>
      <c r="Y624" s="194"/>
      <c r="Z624" s="194"/>
      <c r="AA624" s="194"/>
      <c r="AB624" s="194"/>
    </row>
    <row r="625" spans="2:28" ht="14.25" customHeight="1">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c r="AA625" s="194"/>
      <c r="AB625" s="194"/>
    </row>
    <row r="626" spans="2:28" ht="14.25" customHeight="1">
      <c r="B626" s="194"/>
      <c r="C626" s="194"/>
      <c r="D626" s="194"/>
      <c r="E626" s="194"/>
      <c r="F626" s="194"/>
      <c r="G626" s="194"/>
      <c r="H626" s="194"/>
      <c r="I626" s="194"/>
      <c r="J626" s="194"/>
      <c r="K626" s="194"/>
      <c r="L626" s="194"/>
      <c r="M626" s="194"/>
      <c r="N626" s="194"/>
      <c r="O626" s="194"/>
      <c r="P626" s="194"/>
      <c r="Q626" s="194"/>
      <c r="R626" s="194"/>
      <c r="S626" s="194"/>
      <c r="T626" s="194"/>
      <c r="U626" s="194"/>
      <c r="V626" s="194"/>
      <c r="W626" s="194"/>
      <c r="X626" s="194"/>
      <c r="Y626" s="194"/>
      <c r="Z626" s="194"/>
      <c r="AA626" s="194"/>
      <c r="AB626" s="194"/>
    </row>
    <row r="627" spans="2:28" ht="14.25" customHeight="1">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c r="AA627" s="194"/>
      <c r="AB627" s="194"/>
    </row>
    <row r="628" spans="2:28" ht="14.25" customHeight="1">
      <c r="B628" s="194"/>
      <c r="C628" s="194"/>
      <c r="D628" s="194"/>
      <c r="E628" s="194"/>
      <c r="F628" s="194"/>
      <c r="G628" s="194"/>
      <c r="H628" s="194"/>
      <c r="I628" s="194"/>
      <c r="J628" s="194"/>
      <c r="K628" s="194"/>
      <c r="L628" s="194"/>
      <c r="M628" s="194"/>
      <c r="N628" s="194"/>
      <c r="O628" s="194"/>
      <c r="P628" s="194"/>
      <c r="Q628" s="194"/>
      <c r="R628" s="194"/>
      <c r="S628" s="194"/>
      <c r="T628" s="194"/>
      <c r="U628" s="194"/>
      <c r="V628" s="194"/>
      <c r="W628" s="194"/>
      <c r="X628" s="194"/>
      <c r="Y628" s="194"/>
      <c r="Z628" s="194"/>
      <c r="AA628" s="194"/>
      <c r="AB628" s="194"/>
    </row>
    <row r="629" spans="2:28" ht="14.25" customHeight="1">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c r="AA629" s="194"/>
      <c r="AB629" s="194"/>
    </row>
    <row r="630" spans="2:28" ht="14.25" customHeight="1">
      <c r="B630" s="194"/>
      <c r="C630" s="194"/>
      <c r="D630" s="194"/>
      <c r="E630" s="194"/>
      <c r="F630" s="194"/>
      <c r="G630" s="194"/>
      <c r="H630" s="194"/>
      <c r="I630" s="194"/>
      <c r="J630" s="194"/>
      <c r="K630" s="194"/>
      <c r="L630" s="194"/>
      <c r="M630" s="194"/>
      <c r="N630" s="194"/>
      <c r="O630" s="194"/>
      <c r="P630" s="194"/>
      <c r="Q630" s="194"/>
      <c r="R630" s="194"/>
      <c r="S630" s="194"/>
      <c r="T630" s="194"/>
      <c r="U630" s="194"/>
      <c r="V630" s="194"/>
      <c r="W630" s="194"/>
      <c r="X630" s="194"/>
      <c r="Y630" s="194"/>
      <c r="Z630" s="194"/>
      <c r="AA630" s="194"/>
      <c r="AB630" s="194"/>
    </row>
    <row r="631" spans="2:28" ht="14.25" customHeight="1">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c r="AA631" s="194"/>
      <c r="AB631" s="194"/>
    </row>
    <row r="632" spans="2:28" ht="14.25" customHeight="1">
      <c r="B632" s="194"/>
      <c r="C632" s="194"/>
      <c r="D632" s="194"/>
      <c r="E632" s="194"/>
      <c r="F632" s="194"/>
      <c r="G632" s="194"/>
      <c r="H632" s="194"/>
      <c r="I632" s="194"/>
      <c r="J632" s="194"/>
      <c r="K632" s="194"/>
      <c r="L632" s="194"/>
      <c r="M632" s="194"/>
      <c r="N632" s="194"/>
      <c r="O632" s="194"/>
      <c r="P632" s="194"/>
      <c r="Q632" s="194"/>
      <c r="R632" s="194"/>
      <c r="S632" s="194"/>
      <c r="T632" s="194"/>
      <c r="U632" s="194"/>
      <c r="V632" s="194"/>
      <c r="W632" s="194"/>
      <c r="X632" s="194"/>
      <c r="Y632" s="194"/>
      <c r="Z632" s="194"/>
      <c r="AA632" s="194"/>
      <c r="AB632" s="194"/>
    </row>
    <row r="633" spans="2:28" ht="14.25" customHeight="1">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c r="AA633" s="194"/>
      <c r="AB633" s="194"/>
    </row>
    <row r="634" spans="2:28" ht="14.25" customHeight="1">
      <c r="B634" s="194"/>
      <c r="C634" s="194"/>
      <c r="D634" s="194"/>
      <c r="E634" s="194"/>
      <c r="F634" s="194"/>
      <c r="G634" s="194"/>
      <c r="H634" s="194"/>
      <c r="I634" s="194"/>
      <c r="J634" s="194"/>
      <c r="K634" s="194"/>
      <c r="L634" s="194"/>
      <c r="M634" s="194"/>
      <c r="N634" s="194"/>
      <c r="O634" s="194"/>
      <c r="P634" s="194"/>
      <c r="Q634" s="194"/>
      <c r="R634" s="194"/>
      <c r="S634" s="194"/>
      <c r="T634" s="194"/>
      <c r="U634" s="194"/>
      <c r="V634" s="194"/>
      <c r="W634" s="194"/>
      <c r="X634" s="194"/>
      <c r="Y634" s="194"/>
      <c r="Z634" s="194"/>
      <c r="AA634" s="194"/>
      <c r="AB634" s="194"/>
    </row>
    <row r="635" spans="2:28" ht="14.25" customHeight="1">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c r="AA635" s="194"/>
      <c r="AB635" s="194"/>
    </row>
    <row r="636" spans="2:28" ht="14.25" customHeight="1">
      <c r="B636" s="194"/>
      <c r="C636" s="194"/>
      <c r="D636" s="194"/>
      <c r="E636" s="194"/>
      <c r="F636" s="194"/>
      <c r="G636" s="194"/>
      <c r="H636" s="194"/>
      <c r="I636" s="194"/>
      <c r="J636" s="194"/>
      <c r="K636" s="194"/>
      <c r="L636" s="194"/>
      <c r="M636" s="194"/>
      <c r="N636" s="194"/>
      <c r="O636" s="194"/>
      <c r="P636" s="194"/>
      <c r="Q636" s="194"/>
      <c r="R636" s="194"/>
      <c r="S636" s="194"/>
      <c r="T636" s="194"/>
      <c r="U636" s="194"/>
      <c r="V636" s="194"/>
      <c r="W636" s="194"/>
      <c r="X636" s="194"/>
      <c r="Y636" s="194"/>
      <c r="Z636" s="194"/>
      <c r="AA636" s="194"/>
      <c r="AB636" s="194"/>
    </row>
    <row r="637" spans="2:28" ht="14.25" customHeight="1">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c r="AA637" s="194"/>
      <c r="AB637" s="194"/>
    </row>
    <row r="638" spans="2:28" ht="14.25" customHeight="1">
      <c r="B638" s="194"/>
      <c r="C638" s="194"/>
      <c r="D638" s="194"/>
      <c r="E638" s="194"/>
      <c r="F638" s="194"/>
      <c r="G638" s="194"/>
      <c r="H638" s="194"/>
      <c r="I638" s="194"/>
      <c r="J638" s="194"/>
      <c r="K638" s="194"/>
      <c r="L638" s="194"/>
      <c r="M638" s="194"/>
      <c r="N638" s="194"/>
      <c r="O638" s="194"/>
      <c r="P638" s="194"/>
      <c r="Q638" s="194"/>
      <c r="R638" s="194"/>
      <c r="S638" s="194"/>
      <c r="T638" s="194"/>
      <c r="U638" s="194"/>
      <c r="V638" s="194"/>
      <c r="W638" s="194"/>
      <c r="X638" s="194"/>
      <c r="Y638" s="194"/>
      <c r="Z638" s="194"/>
      <c r="AA638" s="194"/>
      <c r="AB638" s="194"/>
    </row>
    <row r="639" spans="2:28" ht="14.25" customHeight="1">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c r="AA639" s="194"/>
      <c r="AB639" s="194"/>
    </row>
    <row r="640" spans="2:28" ht="14.25" customHeight="1">
      <c r="B640" s="194"/>
      <c r="C640" s="194"/>
      <c r="D640" s="194"/>
      <c r="E640" s="194"/>
      <c r="F640" s="194"/>
      <c r="G640" s="194"/>
      <c r="H640" s="194"/>
      <c r="I640" s="194"/>
      <c r="J640" s="194"/>
      <c r="K640" s="194"/>
      <c r="L640" s="194"/>
      <c r="M640" s="194"/>
      <c r="N640" s="194"/>
      <c r="O640" s="194"/>
      <c r="P640" s="194"/>
      <c r="Q640" s="194"/>
      <c r="R640" s="194"/>
      <c r="S640" s="194"/>
      <c r="T640" s="194"/>
      <c r="U640" s="194"/>
      <c r="V640" s="194"/>
      <c r="W640" s="194"/>
      <c r="X640" s="194"/>
      <c r="Y640" s="194"/>
      <c r="Z640" s="194"/>
      <c r="AA640" s="194"/>
      <c r="AB640" s="194"/>
    </row>
    <row r="641" spans="2:28" ht="14.25" customHeight="1">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c r="AA641" s="194"/>
      <c r="AB641" s="194"/>
    </row>
    <row r="642" spans="2:28" ht="14.25" customHeight="1">
      <c r="B642" s="194"/>
      <c r="C642" s="194"/>
      <c r="D642" s="194"/>
      <c r="E642" s="194"/>
      <c r="F642" s="194"/>
      <c r="G642" s="194"/>
      <c r="H642" s="194"/>
      <c r="I642" s="194"/>
      <c r="J642" s="194"/>
      <c r="K642" s="194"/>
      <c r="L642" s="194"/>
      <c r="M642" s="194"/>
      <c r="N642" s="194"/>
      <c r="O642" s="194"/>
      <c r="P642" s="194"/>
      <c r="Q642" s="194"/>
      <c r="R642" s="194"/>
      <c r="S642" s="194"/>
      <c r="T642" s="194"/>
      <c r="U642" s="194"/>
      <c r="V642" s="194"/>
      <c r="W642" s="194"/>
      <c r="X642" s="194"/>
      <c r="Y642" s="194"/>
      <c r="Z642" s="194"/>
      <c r="AA642" s="194"/>
      <c r="AB642" s="194"/>
    </row>
    <row r="643" spans="2:28" ht="14.25" customHeight="1">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c r="AA643" s="194"/>
      <c r="AB643" s="194"/>
    </row>
    <row r="644" spans="2:28" ht="14.25" customHeight="1">
      <c r="B644" s="194"/>
      <c r="C644" s="194"/>
      <c r="D644" s="194"/>
      <c r="E644" s="194"/>
      <c r="F644" s="194"/>
      <c r="G644" s="194"/>
      <c r="H644" s="194"/>
      <c r="I644" s="194"/>
      <c r="J644" s="194"/>
      <c r="K644" s="194"/>
      <c r="L644" s="194"/>
      <c r="M644" s="194"/>
      <c r="N644" s="194"/>
      <c r="O644" s="194"/>
      <c r="P644" s="194"/>
      <c r="Q644" s="194"/>
      <c r="R644" s="194"/>
      <c r="S644" s="194"/>
      <c r="T644" s="194"/>
      <c r="U644" s="194"/>
      <c r="V644" s="194"/>
      <c r="W644" s="194"/>
      <c r="X644" s="194"/>
      <c r="Y644" s="194"/>
      <c r="Z644" s="194"/>
      <c r="AA644" s="194"/>
      <c r="AB644" s="194"/>
    </row>
    <row r="645" spans="2:28" ht="14.25" customHeight="1">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c r="AA645" s="194"/>
      <c r="AB645" s="194"/>
    </row>
    <row r="646" spans="2:28" ht="14.25" customHeight="1">
      <c r="B646" s="194"/>
      <c r="C646" s="194"/>
      <c r="D646" s="194"/>
      <c r="E646" s="194"/>
      <c r="F646" s="194"/>
      <c r="G646" s="194"/>
      <c r="H646" s="194"/>
      <c r="I646" s="194"/>
      <c r="J646" s="194"/>
      <c r="K646" s="194"/>
      <c r="L646" s="194"/>
      <c r="M646" s="194"/>
      <c r="N646" s="194"/>
      <c r="O646" s="194"/>
      <c r="P646" s="194"/>
      <c r="Q646" s="194"/>
      <c r="R646" s="194"/>
      <c r="S646" s="194"/>
      <c r="T646" s="194"/>
      <c r="U646" s="194"/>
      <c r="V646" s="194"/>
      <c r="W646" s="194"/>
      <c r="X646" s="194"/>
      <c r="Y646" s="194"/>
      <c r="Z646" s="194"/>
      <c r="AA646" s="194"/>
      <c r="AB646" s="194"/>
    </row>
    <row r="647" spans="2:28" ht="14.25" customHeight="1">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c r="AA647" s="194"/>
      <c r="AB647" s="194"/>
    </row>
    <row r="648" spans="2:28" ht="14.25" customHeight="1">
      <c r="B648" s="194"/>
      <c r="C648" s="194"/>
      <c r="D648" s="194"/>
      <c r="E648" s="194"/>
      <c r="F648" s="194"/>
      <c r="G648" s="194"/>
      <c r="H648" s="194"/>
      <c r="I648" s="194"/>
      <c r="J648" s="194"/>
      <c r="K648" s="194"/>
      <c r="L648" s="194"/>
      <c r="M648" s="194"/>
      <c r="N648" s="194"/>
      <c r="O648" s="194"/>
      <c r="P648" s="194"/>
      <c r="Q648" s="194"/>
      <c r="R648" s="194"/>
      <c r="S648" s="194"/>
      <c r="T648" s="194"/>
      <c r="U648" s="194"/>
      <c r="V648" s="194"/>
      <c r="W648" s="194"/>
      <c r="X648" s="194"/>
      <c r="Y648" s="194"/>
      <c r="Z648" s="194"/>
      <c r="AA648" s="194"/>
      <c r="AB648" s="194"/>
    </row>
    <row r="649" spans="2:28" ht="14.25" customHeight="1">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c r="AA649" s="194"/>
      <c r="AB649" s="194"/>
    </row>
    <row r="650" spans="2:28" ht="14.25" customHeight="1">
      <c r="B650" s="194"/>
      <c r="C650" s="194"/>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c r="AA650" s="194"/>
      <c r="AB650" s="194"/>
    </row>
    <row r="651" spans="2:28" ht="14.25" customHeight="1">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c r="AA651" s="194"/>
      <c r="AB651" s="194"/>
    </row>
    <row r="652" spans="2:28" ht="14.25" customHeight="1">
      <c r="B652" s="194"/>
      <c r="C652" s="194"/>
      <c r="D652" s="194"/>
      <c r="E652" s="194"/>
      <c r="F652" s="194"/>
      <c r="G652" s="194"/>
      <c r="H652" s="194"/>
      <c r="I652" s="194"/>
      <c r="J652" s="194"/>
      <c r="K652" s="194"/>
      <c r="L652" s="194"/>
      <c r="M652" s="194"/>
      <c r="N652" s="194"/>
      <c r="O652" s="194"/>
      <c r="P652" s="194"/>
      <c r="Q652" s="194"/>
      <c r="R652" s="194"/>
      <c r="S652" s="194"/>
      <c r="T652" s="194"/>
      <c r="U652" s="194"/>
      <c r="V652" s="194"/>
      <c r="W652" s="194"/>
      <c r="X652" s="194"/>
      <c r="Y652" s="194"/>
      <c r="Z652" s="194"/>
      <c r="AA652" s="194"/>
      <c r="AB652" s="194"/>
    </row>
    <row r="653" spans="2:28" ht="14.25" customHeight="1">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c r="AA653" s="194"/>
      <c r="AB653" s="194"/>
    </row>
    <row r="654" spans="2:28" ht="14.25" customHeight="1">
      <c r="B654" s="194"/>
      <c r="C654" s="194"/>
      <c r="D654" s="194"/>
      <c r="E654" s="194"/>
      <c r="F654" s="194"/>
      <c r="G654" s="194"/>
      <c r="H654" s="194"/>
      <c r="I654" s="194"/>
      <c r="J654" s="194"/>
      <c r="K654" s="194"/>
      <c r="L654" s="194"/>
      <c r="M654" s="194"/>
      <c r="N654" s="194"/>
      <c r="O654" s="194"/>
      <c r="P654" s="194"/>
      <c r="Q654" s="194"/>
      <c r="R654" s="194"/>
      <c r="S654" s="194"/>
      <c r="T654" s="194"/>
      <c r="U654" s="194"/>
      <c r="V654" s="194"/>
      <c r="W654" s="194"/>
      <c r="X654" s="194"/>
      <c r="Y654" s="194"/>
      <c r="Z654" s="194"/>
      <c r="AA654" s="194"/>
      <c r="AB654" s="194"/>
    </row>
    <row r="655" spans="2:28" ht="14.25" customHeight="1">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c r="AA655" s="194"/>
      <c r="AB655" s="194"/>
    </row>
    <row r="656" spans="2:28" ht="14.25" customHeight="1">
      <c r="B656" s="194"/>
      <c r="C656" s="194"/>
      <c r="D656" s="194"/>
      <c r="E656" s="194"/>
      <c r="F656" s="194"/>
      <c r="G656" s="194"/>
      <c r="H656" s="194"/>
      <c r="I656" s="194"/>
      <c r="J656" s="194"/>
      <c r="K656" s="194"/>
      <c r="L656" s="194"/>
      <c r="M656" s="194"/>
      <c r="N656" s="194"/>
      <c r="O656" s="194"/>
      <c r="P656" s="194"/>
      <c r="Q656" s="194"/>
      <c r="R656" s="194"/>
      <c r="S656" s="194"/>
      <c r="T656" s="194"/>
      <c r="U656" s="194"/>
      <c r="V656" s="194"/>
      <c r="W656" s="194"/>
      <c r="X656" s="194"/>
      <c r="Y656" s="194"/>
      <c r="Z656" s="194"/>
      <c r="AA656" s="194"/>
      <c r="AB656" s="194"/>
    </row>
    <row r="657" spans="2:28" ht="14.25" customHeight="1">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c r="AA657" s="194"/>
      <c r="AB657" s="194"/>
    </row>
    <row r="658" spans="2:28" ht="14.25" customHeight="1">
      <c r="B658" s="194"/>
      <c r="C658" s="194"/>
      <c r="D658" s="194"/>
      <c r="E658" s="194"/>
      <c r="F658" s="194"/>
      <c r="G658" s="194"/>
      <c r="H658" s="194"/>
      <c r="I658" s="194"/>
      <c r="J658" s="194"/>
      <c r="K658" s="194"/>
      <c r="L658" s="194"/>
      <c r="M658" s="194"/>
      <c r="N658" s="194"/>
      <c r="O658" s="194"/>
      <c r="P658" s="194"/>
      <c r="Q658" s="194"/>
      <c r="R658" s="194"/>
      <c r="S658" s="194"/>
      <c r="T658" s="194"/>
      <c r="U658" s="194"/>
      <c r="V658" s="194"/>
      <c r="W658" s="194"/>
      <c r="X658" s="194"/>
      <c r="Y658" s="194"/>
      <c r="Z658" s="194"/>
      <c r="AA658" s="194"/>
      <c r="AB658" s="194"/>
    </row>
    <row r="659" spans="2:28" ht="14.25" customHeight="1">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c r="AA659" s="194"/>
      <c r="AB659" s="194"/>
    </row>
    <row r="660" spans="2:28" ht="14.25" customHeight="1">
      <c r="B660" s="194"/>
      <c r="C660" s="194"/>
      <c r="D660" s="194"/>
      <c r="E660" s="194"/>
      <c r="F660" s="194"/>
      <c r="G660" s="194"/>
      <c r="H660" s="194"/>
      <c r="I660" s="194"/>
      <c r="J660" s="194"/>
      <c r="K660" s="194"/>
      <c r="L660" s="194"/>
      <c r="M660" s="194"/>
      <c r="N660" s="194"/>
      <c r="O660" s="194"/>
      <c r="P660" s="194"/>
      <c r="Q660" s="194"/>
      <c r="R660" s="194"/>
      <c r="S660" s="194"/>
      <c r="T660" s="194"/>
      <c r="U660" s="194"/>
      <c r="V660" s="194"/>
      <c r="W660" s="194"/>
      <c r="X660" s="194"/>
      <c r="Y660" s="194"/>
      <c r="Z660" s="194"/>
      <c r="AA660" s="194"/>
      <c r="AB660" s="194"/>
    </row>
    <row r="661" spans="2:28" ht="14.25" customHeight="1">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c r="AA661" s="194"/>
      <c r="AB661" s="194"/>
    </row>
    <row r="662" spans="2:28" ht="14.25" customHeight="1">
      <c r="B662" s="194"/>
      <c r="C662" s="194"/>
      <c r="D662" s="194"/>
      <c r="E662" s="194"/>
      <c r="F662" s="194"/>
      <c r="G662" s="194"/>
      <c r="H662" s="194"/>
      <c r="I662" s="194"/>
      <c r="J662" s="194"/>
      <c r="K662" s="194"/>
      <c r="L662" s="194"/>
      <c r="M662" s="194"/>
      <c r="N662" s="194"/>
      <c r="O662" s="194"/>
      <c r="P662" s="194"/>
      <c r="Q662" s="194"/>
      <c r="R662" s="194"/>
      <c r="S662" s="194"/>
      <c r="T662" s="194"/>
      <c r="U662" s="194"/>
      <c r="V662" s="194"/>
      <c r="W662" s="194"/>
      <c r="X662" s="194"/>
      <c r="Y662" s="194"/>
      <c r="Z662" s="194"/>
      <c r="AA662" s="194"/>
      <c r="AB662" s="194"/>
    </row>
    <row r="663" spans="2:28" ht="14.25" customHeight="1">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c r="AA663" s="194"/>
      <c r="AB663" s="194"/>
    </row>
    <row r="664" spans="2:28" ht="14.25" customHeight="1">
      <c r="B664" s="194"/>
      <c r="C664" s="194"/>
      <c r="D664" s="194"/>
      <c r="E664" s="194"/>
      <c r="F664" s="194"/>
      <c r="G664" s="194"/>
      <c r="H664" s="194"/>
      <c r="I664" s="194"/>
      <c r="J664" s="194"/>
      <c r="K664" s="194"/>
      <c r="L664" s="194"/>
      <c r="M664" s="194"/>
      <c r="N664" s="194"/>
      <c r="O664" s="194"/>
      <c r="P664" s="194"/>
      <c r="Q664" s="194"/>
      <c r="R664" s="194"/>
      <c r="S664" s="194"/>
      <c r="T664" s="194"/>
      <c r="U664" s="194"/>
      <c r="V664" s="194"/>
      <c r="W664" s="194"/>
      <c r="X664" s="194"/>
      <c r="Y664" s="194"/>
      <c r="Z664" s="194"/>
      <c r="AA664" s="194"/>
      <c r="AB664" s="194"/>
    </row>
    <row r="665" spans="2:28" ht="14.25" customHeight="1">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c r="AA665" s="194"/>
      <c r="AB665" s="194"/>
    </row>
    <row r="666" spans="2:28" ht="14.25" customHeight="1">
      <c r="B666" s="194"/>
      <c r="C666" s="194"/>
      <c r="D666" s="194"/>
      <c r="E666" s="194"/>
      <c r="F666" s="194"/>
      <c r="G666" s="194"/>
      <c r="H666" s="194"/>
      <c r="I666" s="194"/>
      <c r="J666" s="194"/>
      <c r="K666" s="194"/>
      <c r="L666" s="194"/>
      <c r="M666" s="194"/>
      <c r="N666" s="194"/>
      <c r="O666" s="194"/>
      <c r="P666" s="194"/>
      <c r="Q666" s="194"/>
      <c r="R666" s="194"/>
      <c r="S666" s="194"/>
      <c r="T666" s="194"/>
      <c r="U666" s="194"/>
      <c r="V666" s="194"/>
      <c r="W666" s="194"/>
      <c r="X666" s="194"/>
      <c r="Y666" s="194"/>
      <c r="Z666" s="194"/>
      <c r="AA666" s="194"/>
      <c r="AB666" s="194"/>
    </row>
    <row r="667" spans="2:28" ht="14.25" customHeight="1">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c r="AA667" s="194"/>
      <c r="AB667" s="194"/>
    </row>
    <row r="668" spans="2:28" ht="14.25" customHeight="1">
      <c r="B668" s="194"/>
      <c r="C668" s="194"/>
      <c r="D668" s="194"/>
      <c r="E668" s="194"/>
      <c r="F668" s="194"/>
      <c r="G668" s="194"/>
      <c r="H668" s="194"/>
      <c r="I668" s="194"/>
      <c r="J668" s="194"/>
      <c r="K668" s="194"/>
      <c r="L668" s="194"/>
      <c r="M668" s="194"/>
      <c r="N668" s="194"/>
      <c r="O668" s="194"/>
      <c r="P668" s="194"/>
      <c r="Q668" s="194"/>
      <c r="R668" s="194"/>
      <c r="S668" s="194"/>
      <c r="T668" s="194"/>
      <c r="U668" s="194"/>
      <c r="V668" s="194"/>
      <c r="W668" s="194"/>
      <c r="X668" s="194"/>
      <c r="Y668" s="194"/>
      <c r="Z668" s="194"/>
      <c r="AA668" s="194"/>
      <c r="AB668" s="194"/>
    </row>
    <row r="669" spans="2:28" ht="14.25" customHeight="1">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c r="AA669" s="194"/>
      <c r="AB669" s="194"/>
    </row>
    <row r="670" spans="2:28" ht="14.25" customHeight="1">
      <c r="B670" s="194"/>
      <c r="C670" s="194"/>
      <c r="D670" s="194"/>
      <c r="E670" s="194"/>
      <c r="F670" s="194"/>
      <c r="G670" s="194"/>
      <c r="H670" s="194"/>
      <c r="I670" s="194"/>
      <c r="J670" s="194"/>
      <c r="K670" s="194"/>
      <c r="L670" s="194"/>
      <c r="M670" s="194"/>
      <c r="N670" s="194"/>
      <c r="O670" s="194"/>
      <c r="P670" s="194"/>
      <c r="Q670" s="194"/>
      <c r="R670" s="194"/>
      <c r="S670" s="194"/>
      <c r="T670" s="194"/>
      <c r="U670" s="194"/>
      <c r="V670" s="194"/>
      <c r="W670" s="194"/>
      <c r="X670" s="194"/>
      <c r="Y670" s="194"/>
      <c r="Z670" s="194"/>
      <c r="AA670" s="194"/>
      <c r="AB670" s="194"/>
    </row>
    <row r="671" spans="2:28" ht="14.25" customHeight="1">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c r="AA671" s="194"/>
      <c r="AB671" s="194"/>
    </row>
    <row r="672" spans="2:28" ht="14.25" customHeight="1">
      <c r="B672" s="194"/>
      <c r="C672" s="194"/>
      <c r="D672" s="194"/>
      <c r="E672" s="194"/>
      <c r="F672" s="194"/>
      <c r="G672" s="194"/>
      <c r="H672" s="194"/>
      <c r="I672" s="194"/>
      <c r="J672" s="194"/>
      <c r="K672" s="194"/>
      <c r="L672" s="194"/>
      <c r="M672" s="194"/>
      <c r="N672" s="194"/>
      <c r="O672" s="194"/>
      <c r="P672" s="194"/>
      <c r="Q672" s="194"/>
      <c r="R672" s="194"/>
      <c r="S672" s="194"/>
      <c r="T672" s="194"/>
      <c r="U672" s="194"/>
      <c r="V672" s="194"/>
      <c r="W672" s="194"/>
      <c r="X672" s="194"/>
      <c r="Y672" s="194"/>
      <c r="Z672" s="194"/>
      <c r="AA672" s="194"/>
      <c r="AB672" s="194"/>
    </row>
    <row r="673" spans="2:28" ht="14.25" customHeight="1">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c r="AA673" s="194"/>
      <c r="AB673" s="194"/>
    </row>
    <row r="674" spans="2:28" ht="14.25" customHeight="1">
      <c r="B674" s="194"/>
      <c r="C674" s="194"/>
      <c r="D674" s="194"/>
      <c r="E674" s="194"/>
      <c r="F674" s="194"/>
      <c r="G674" s="194"/>
      <c r="H674" s="194"/>
      <c r="I674" s="194"/>
      <c r="J674" s="194"/>
      <c r="K674" s="194"/>
      <c r="L674" s="194"/>
      <c r="M674" s="194"/>
      <c r="N674" s="194"/>
      <c r="O674" s="194"/>
      <c r="P674" s="194"/>
      <c r="Q674" s="194"/>
      <c r="R674" s="194"/>
      <c r="S674" s="194"/>
      <c r="T674" s="194"/>
      <c r="U674" s="194"/>
      <c r="V674" s="194"/>
      <c r="W674" s="194"/>
      <c r="X674" s="194"/>
      <c r="Y674" s="194"/>
      <c r="Z674" s="194"/>
      <c r="AA674" s="194"/>
      <c r="AB674" s="194"/>
    </row>
    <row r="675" spans="2:28" ht="14.25" customHeight="1">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c r="AA675" s="194"/>
      <c r="AB675" s="194"/>
    </row>
    <row r="676" spans="2:28" ht="14.25" customHeight="1">
      <c r="B676" s="194"/>
      <c r="C676" s="194"/>
      <c r="D676" s="194"/>
      <c r="E676" s="194"/>
      <c r="F676" s="194"/>
      <c r="G676" s="194"/>
      <c r="H676" s="194"/>
      <c r="I676" s="194"/>
      <c r="J676" s="194"/>
      <c r="K676" s="194"/>
      <c r="L676" s="194"/>
      <c r="M676" s="194"/>
      <c r="N676" s="194"/>
      <c r="O676" s="194"/>
      <c r="P676" s="194"/>
      <c r="Q676" s="194"/>
      <c r="R676" s="194"/>
      <c r="S676" s="194"/>
      <c r="T676" s="194"/>
      <c r="U676" s="194"/>
      <c r="V676" s="194"/>
      <c r="W676" s="194"/>
      <c r="X676" s="194"/>
      <c r="Y676" s="194"/>
      <c r="Z676" s="194"/>
      <c r="AA676" s="194"/>
      <c r="AB676" s="194"/>
    </row>
    <row r="677" spans="2:28" ht="14.25" customHeight="1">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c r="AA677" s="194"/>
      <c r="AB677" s="194"/>
    </row>
    <row r="678" spans="2:28" ht="14.25" customHeight="1">
      <c r="B678" s="194"/>
      <c r="C678" s="194"/>
      <c r="D678" s="194"/>
      <c r="E678" s="194"/>
      <c r="F678" s="194"/>
      <c r="G678" s="194"/>
      <c r="H678" s="194"/>
      <c r="I678" s="194"/>
      <c r="J678" s="194"/>
      <c r="K678" s="194"/>
      <c r="L678" s="194"/>
      <c r="M678" s="194"/>
      <c r="N678" s="194"/>
      <c r="O678" s="194"/>
      <c r="P678" s="194"/>
      <c r="Q678" s="194"/>
      <c r="R678" s="194"/>
      <c r="S678" s="194"/>
      <c r="T678" s="194"/>
      <c r="U678" s="194"/>
      <c r="V678" s="194"/>
      <c r="W678" s="194"/>
      <c r="X678" s="194"/>
      <c r="Y678" s="194"/>
      <c r="Z678" s="194"/>
      <c r="AA678" s="194"/>
      <c r="AB678" s="194"/>
    </row>
    <row r="679" spans="2:28" ht="14.25" customHeight="1">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c r="AA679" s="194"/>
      <c r="AB679" s="194"/>
    </row>
    <row r="680" spans="2:28" ht="14.25" customHeight="1">
      <c r="B680" s="194"/>
      <c r="C680" s="194"/>
      <c r="D680" s="194"/>
      <c r="E680" s="194"/>
      <c r="F680" s="194"/>
      <c r="G680" s="194"/>
      <c r="H680" s="194"/>
      <c r="I680" s="194"/>
      <c r="J680" s="194"/>
      <c r="K680" s="194"/>
      <c r="L680" s="194"/>
      <c r="M680" s="194"/>
      <c r="N680" s="194"/>
      <c r="O680" s="194"/>
      <c r="P680" s="194"/>
      <c r="Q680" s="194"/>
      <c r="R680" s="194"/>
      <c r="S680" s="194"/>
      <c r="T680" s="194"/>
      <c r="U680" s="194"/>
      <c r="V680" s="194"/>
      <c r="W680" s="194"/>
      <c r="X680" s="194"/>
      <c r="Y680" s="194"/>
      <c r="Z680" s="194"/>
      <c r="AA680" s="194"/>
      <c r="AB680" s="194"/>
    </row>
    <row r="681" spans="2:28" ht="14.25" customHeight="1">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c r="AA681" s="194"/>
      <c r="AB681" s="194"/>
    </row>
    <row r="682" spans="2:28" ht="14.25" customHeight="1">
      <c r="B682" s="194"/>
      <c r="C682" s="194"/>
      <c r="D682" s="194"/>
      <c r="E682" s="194"/>
      <c r="F682" s="194"/>
      <c r="G682" s="194"/>
      <c r="H682" s="194"/>
      <c r="I682" s="194"/>
      <c r="J682" s="194"/>
      <c r="K682" s="194"/>
      <c r="L682" s="194"/>
      <c r="M682" s="194"/>
      <c r="N682" s="194"/>
      <c r="O682" s="194"/>
      <c r="P682" s="194"/>
      <c r="Q682" s="194"/>
      <c r="R682" s="194"/>
      <c r="S682" s="194"/>
      <c r="T682" s="194"/>
      <c r="U682" s="194"/>
      <c r="V682" s="194"/>
      <c r="W682" s="194"/>
      <c r="X682" s="194"/>
      <c r="Y682" s="194"/>
      <c r="Z682" s="194"/>
      <c r="AA682" s="194"/>
      <c r="AB682" s="194"/>
    </row>
    <row r="683" spans="2:28" ht="14.25" customHeight="1">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c r="AA683" s="194"/>
      <c r="AB683" s="194"/>
    </row>
    <row r="684" spans="2:28" ht="14.25" customHeight="1">
      <c r="B684" s="194"/>
      <c r="C684" s="194"/>
      <c r="D684" s="194"/>
      <c r="E684" s="194"/>
      <c r="F684" s="194"/>
      <c r="G684" s="194"/>
      <c r="H684" s="194"/>
      <c r="I684" s="194"/>
      <c r="J684" s="194"/>
      <c r="K684" s="194"/>
      <c r="L684" s="194"/>
      <c r="M684" s="194"/>
      <c r="N684" s="194"/>
      <c r="O684" s="194"/>
      <c r="P684" s="194"/>
      <c r="Q684" s="194"/>
      <c r="R684" s="194"/>
      <c r="S684" s="194"/>
      <c r="T684" s="194"/>
      <c r="U684" s="194"/>
      <c r="V684" s="194"/>
      <c r="W684" s="194"/>
      <c r="X684" s="194"/>
      <c r="Y684" s="194"/>
      <c r="Z684" s="194"/>
      <c r="AA684" s="194"/>
      <c r="AB684" s="194"/>
    </row>
    <row r="685" spans="2:28" ht="14.25" customHeight="1">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c r="AA685" s="194"/>
      <c r="AB685" s="194"/>
    </row>
    <row r="686" spans="2:28" ht="14.25" customHeight="1">
      <c r="B686" s="194"/>
      <c r="C686" s="194"/>
      <c r="D686" s="194"/>
      <c r="E686" s="194"/>
      <c r="F686" s="194"/>
      <c r="G686" s="194"/>
      <c r="H686" s="194"/>
      <c r="I686" s="194"/>
      <c r="J686" s="194"/>
      <c r="K686" s="194"/>
      <c r="L686" s="194"/>
      <c r="M686" s="194"/>
      <c r="N686" s="194"/>
      <c r="O686" s="194"/>
      <c r="P686" s="194"/>
      <c r="Q686" s="194"/>
      <c r="R686" s="194"/>
      <c r="S686" s="194"/>
      <c r="T686" s="194"/>
      <c r="U686" s="194"/>
      <c r="V686" s="194"/>
      <c r="W686" s="194"/>
      <c r="X686" s="194"/>
      <c r="Y686" s="194"/>
      <c r="Z686" s="194"/>
      <c r="AA686" s="194"/>
      <c r="AB686" s="194"/>
    </row>
    <row r="687" spans="2:28" ht="14.25" customHeight="1">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c r="AA687" s="194"/>
      <c r="AB687" s="194"/>
    </row>
    <row r="688" spans="2:28" ht="14.25" customHeight="1">
      <c r="B688" s="194"/>
      <c r="C688" s="194"/>
      <c r="D688" s="194"/>
      <c r="E688" s="194"/>
      <c r="F688" s="194"/>
      <c r="G688" s="194"/>
      <c r="H688" s="194"/>
      <c r="I688" s="194"/>
      <c r="J688" s="194"/>
      <c r="K688" s="194"/>
      <c r="L688" s="194"/>
      <c r="M688" s="194"/>
      <c r="N688" s="194"/>
      <c r="O688" s="194"/>
      <c r="P688" s="194"/>
      <c r="Q688" s="194"/>
      <c r="R688" s="194"/>
      <c r="S688" s="194"/>
      <c r="T688" s="194"/>
      <c r="U688" s="194"/>
      <c r="V688" s="194"/>
      <c r="W688" s="194"/>
      <c r="X688" s="194"/>
      <c r="Y688" s="194"/>
      <c r="Z688" s="194"/>
      <c r="AA688" s="194"/>
      <c r="AB688" s="194"/>
    </row>
    <row r="689" spans="2:28" ht="14.25" customHeight="1">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c r="AA689" s="194"/>
      <c r="AB689" s="194"/>
    </row>
    <row r="690" spans="2:28" ht="14.25" customHeight="1">
      <c r="B690" s="194"/>
      <c r="C690" s="194"/>
      <c r="D690" s="194"/>
      <c r="E690" s="194"/>
      <c r="F690" s="194"/>
      <c r="G690" s="194"/>
      <c r="H690" s="194"/>
      <c r="I690" s="194"/>
      <c r="J690" s="194"/>
      <c r="K690" s="194"/>
      <c r="L690" s="194"/>
      <c r="M690" s="194"/>
      <c r="N690" s="194"/>
      <c r="O690" s="194"/>
      <c r="P690" s="194"/>
      <c r="Q690" s="194"/>
      <c r="R690" s="194"/>
      <c r="S690" s="194"/>
      <c r="T690" s="194"/>
      <c r="U690" s="194"/>
      <c r="V690" s="194"/>
      <c r="W690" s="194"/>
      <c r="X690" s="194"/>
      <c r="Y690" s="194"/>
      <c r="Z690" s="194"/>
      <c r="AA690" s="194"/>
      <c r="AB690" s="194"/>
    </row>
    <row r="691" spans="2:28" ht="14.25" customHeight="1">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c r="AA691" s="194"/>
      <c r="AB691" s="194"/>
    </row>
    <row r="692" spans="2:28" ht="14.25" customHeight="1">
      <c r="B692" s="194"/>
      <c r="C692" s="194"/>
      <c r="D692" s="194"/>
      <c r="E692" s="194"/>
      <c r="F692" s="194"/>
      <c r="G692" s="194"/>
      <c r="H692" s="194"/>
      <c r="I692" s="194"/>
      <c r="J692" s="194"/>
      <c r="K692" s="194"/>
      <c r="L692" s="194"/>
      <c r="M692" s="194"/>
      <c r="N692" s="194"/>
      <c r="O692" s="194"/>
      <c r="P692" s="194"/>
      <c r="Q692" s="194"/>
      <c r="R692" s="194"/>
      <c r="S692" s="194"/>
      <c r="T692" s="194"/>
      <c r="U692" s="194"/>
      <c r="V692" s="194"/>
      <c r="W692" s="194"/>
      <c r="X692" s="194"/>
      <c r="Y692" s="194"/>
      <c r="Z692" s="194"/>
      <c r="AA692" s="194"/>
      <c r="AB692" s="194"/>
    </row>
    <row r="693" spans="2:28" ht="14.25" customHeight="1">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c r="AA693" s="194"/>
      <c r="AB693" s="194"/>
    </row>
    <row r="694" spans="2:28" ht="14.25" customHeight="1">
      <c r="B694" s="194"/>
      <c r="C694" s="194"/>
      <c r="D694" s="194"/>
      <c r="E694" s="194"/>
      <c r="F694" s="194"/>
      <c r="G694" s="194"/>
      <c r="H694" s="194"/>
      <c r="I694" s="194"/>
      <c r="J694" s="194"/>
      <c r="K694" s="194"/>
      <c r="L694" s="194"/>
      <c r="M694" s="194"/>
      <c r="N694" s="194"/>
      <c r="O694" s="194"/>
      <c r="P694" s="194"/>
      <c r="Q694" s="194"/>
      <c r="R694" s="194"/>
      <c r="S694" s="194"/>
      <c r="T694" s="194"/>
      <c r="U694" s="194"/>
      <c r="V694" s="194"/>
      <c r="W694" s="194"/>
      <c r="X694" s="194"/>
      <c r="Y694" s="194"/>
      <c r="Z694" s="194"/>
      <c r="AA694" s="194"/>
      <c r="AB694" s="194"/>
    </row>
    <row r="695" spans="2:28" ht="14.25" customHeight="1">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c r="AA695" s="194"/>
      <c r="AB695" s="194"/>
    </row>
    <row r="696" spans="2:28" ht="14.25" customHeight="1">
      <c r="B696" s="194"/>
      <c r="C696" s="194"/>
      <c r="D696" s="194"/>
      <c r="E696" s="194"/>
      <c r="F696" s="194"/>
      <c r="G696" s="194"/>
      <c r="H696" s="194"/>
      <c r="I696" s="194"/>
      <c r="J696" s="194"/>
      <c r="K696" s="194"/>
      <c r="L696" s="194"/>
      <c r="M696" s="194"/>
      <c r="N696" s="194"/>
      <c r="O696" s="194"/>
      <c r="P696" s="194"/>
      <c r="Q696" s="194"/>
      <c r="R696" s="194"/>
      <c r="S696" s="194"/>
      <c r="T696" s="194"/>
      <c r="U696" s="194"/>
      <c r="V696" s="194"/>
      <c r="W696" s="194"/>
      <c r="X696" s="194"/>
      <c r="Y696" s="194"/>
      <c r="Z696" s="194"/>
      <c r="AA696" s="194"/>
      <c r="AB696" s="194"/>
    </row>
    <row r="697" spans="2:28" ht="14.25" customHeight="1">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c r="AA697" s="194"/>
      <c r="AB697" s="194"/>
    </row>
    <row r="698" spans="2:28" ht="14.25" customHeight="1">
      <c r="B698" s="194"/>
      <c r="C698" s="194"/>
      <c r="D698" s="194"/>
      <c r="E698" s="194"/>
      <c r="F698" s="194"/>
      <c r="G698" s="194"/>
      <c r="H698" s="194"/>
      <c r="I698" s="194"/>
      <c r="J698" s="194"/>
      <c r="K698" s="194"/>
      <c r="L698" s="194"/>
      <c r="M698" s="194"/>
      <c r="N698" s="194"/>
      <c r="O698" s="194"/>
      <c r="P698" s="194"/>
      <c r="Q698" s="194"/>
      <c r="R698" s="194"/>
      <c r="S698" s="194"/>
      <c r="T698" s="194"/>
      <c r="U698" s="194"/>
      <c r="V698" s="194"/>
      <c r="W698" s="194"/>
      <c r="X698" s="194"/>
      <c r="Y698" s="194"/>
      <c r="Z698" s="194"/>
      <c r="AA698" s="194"/>
      <c r="AB698" s="194"/>
    </row>
    <row r="699" spans="2:28" ht="14.25" customHeight="1">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c r="AA699" s="194"/>
      <c r="AB699" s="194"/>
    </row>
    <row r="700" spans="2:28" ht="14.25" customHeight="1">
      <c r="B700" s="194"/>
      <c r="C700" s="194"/>
      <c r="D700" s="194"/>
      <c r="E700" s="194"/>
      <c r="F700" s="194"/>
      <c r="G700" s="194"/>
      <c r="H700" s="194"/>
      <c r="I700" s="194"/>
      <c r="J700" s="194"/>
      <c r="K700" s="194"/>
      <c r="L700" s="194"/>
      <c r="M700" s="194"/>
      <c r="N700" s="194"/>
      <c r="O700" s="194"/>
      <c r="P700" s="194"/>
      <c r="Q700" s="194"/>
      <c r="R700" s="194"/>
      <c r="S700" s="194"/>
      <c r="T700" s="194"/>
      <c r="U700" s="194"/>
      <c r="V700" s="194"/>
      <c r="W700" s="194"/>
      <c r="X700" s="194"/>
      <c r="Y700" s="194"/>
      <c r="Z700" s="194"/>
      <c r="AA700" s="194"/>
      <c r="AB700" s="194"/>
    </row>
    <row r="701" spans="2:28" ht="14.25" customHeight="1">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c r="AA701" s="194"/>
      <c r="AB701" s="194"/>
    </row>
    <row r="702" spans="2:28" ht="14.25" customHeight="1">
      <c r="B702" s="194"/>
      <c r="C702" s="194"/>
      <c r="D702" s="194"/>
      <c r="E702" s="194"/>
      <c r="F702" s="194"/>
      <c r="G702" s="194"/>
      <c r="H702" s="194"/>
      <c r="I702" s="194"/>
      <c r="J702" s="194"/>
      <c r="K702" s="194"/>
      <c r="L702" s="194"/>
      <c r="M702" s="194"/>
      <c r="N702" s="194"/>
      <c r="O702" s="194"/>
      <c r="P702" s="194"/>
      <c r="Q702" s="194"/>
      <c r="R702" s="194"/>
      <c r="S702" s="194"/>
      <c r="T702" s="194"/>
      <c r="U702" s="194"/>
      <c r="V702" s="194"/>
      <c r="W702" s="194"/>
      <c r="X702" s="194"/>
      <c r="Y702" s="194"/>
      <c r="Z702" s="194"/>
      <c r="AA702" s="194"/>
      <c r="AB702" s="194"/>
    </row>
    <row r="703" spans="2:28" ht="14.25" customHeight="1">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c r="AA703" s="194"/>
      <c r="AB703" s="194"/>
    </row>
    <row r="704" spans="2:28" ht="14.25" customHeight="1">
      <c r="B704" s="194"/>
      <c r="C704" s="194"/>
      <c r="D704" s="194"/>
      <c r="E704" s="194"/>
      <c r="F704" s="194"/>
      <c r="G704" s="194"/>
      <c r="H704" s="194"/>
      <c r="I704" s="194"/>
      <c r="J704" s="194"/>
      <c r="K704" s="194"/>
      <c r="L704" s="194"/>
      <c r="M704" s="194"/>
      <c r="N704" s="194"/>
      <c r="O704" s="194"/>
      <c r="P704" s="194"/>
      <c r="Q704" s="194"/>
      <c r="R704" s="194"/>
      <c r="S704" s="194"/>
      <c r="T704" s="194"/>
      <c r="U704" s="194"/>
      <c r="V704" s="194"/>
      <c r="W704" s="194"/>
      <c r="X704" s="194"/>
      <c r="Y704" s="194"/>
      <c r="Z704" s="194"/>
      <c r="AA704" s="194"/>
      <c r="AB704" s="194"/>
    </row>
    <row r="705" spans="2:28" ht="14.25" customHeight="1">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c r="AA705" s="194"/>
      <c r="AB705" s="194"/>
    </row>
    <row r="706" spans="2:28" ht="14.25" customHeight="1">
      <c r="B706" s="194"/>
      <c r="C706" s="194"/>
      <c r="D706" s="194"/>
      <c r="E706" s="194"/>
      <c r="F706" s="194"/>
      <c r="G706" s="194"/>
      <c r="H706" s="194"/>
      <c r="I706" s="194"/>
      <c r="J706" s="194"/>
      <c r="K706" s="194"/>
      <c r="L706" s="194"/>
      <c r="M706" s="194"/>
      <c r="N706" s="194"/>
      <c r="O706" s="194"/>
      <c r="P706" s="194"/>
      <c r="Q706" s="194"/>
      <c r="R706" s="194"/>
      <c r="S706" s="194"/>
      <c r="T706" s="194"/>
      <c r="U706" s="194"/>
      <c r="V706" s="194"/>
      <c r="W706" s="194"/>
      <c r="X706" s="194"/>
      <c r="Y706" s="194"/>
      <c r="Z706" s="194"/>
      <c r="AA706" s="194"/>
      <c r="AB706" s="194"/>
    </row>
    <row r="707" spans="2:28" ht="14.25" customHeight="1">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c r="AA707" s="194"/>
      <c r="AB707" s="194"/>
    </row>
    <row r="708" spans="2:28" ht="14.25" customHeight="1">
      <c r="B708" s="194"/>
      <c r="C708" s="194"/>
      <c r="D708" s="194"/>
      <c r="E708" s="194"/>
      <c r="F708" s="194"/>
      <c r="G708" s="194"/>
      <c r="H708" s="194"/>
      <c r="I708" s="194"/>
      <c r="J708" s="194"/>
      <c r="K708" s="194"/>
      <c r="L708" s="194"/>
      <c r="M708" s="194"/>
      <c r="N708" s="194"/>
      <c r="O708" s="194"/>
      <c r="P708" s="194"/>
      <c r="Q708" s="194"/>
      <c r="R708" s="194"/>
      <c r="S708" s="194"/>
      <c r="T708" s="194"/>
      <c r="U708" s="194"/>
      <c r="V708" s="194"/>
      <c r="W708" s="194"/>
      <c r="X708" s="194"/>
      <c r="Y708" s="194"/>
      <c r="Z708" s="194"/>
      <c r="AA708" s="194"/>
      <c r="AB708" s="194"/>
    </row>
    <row r="709" spans="2:28" ht="14.25" customHeight="1">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c r="AA709" s="194"/>
      <c r="AB709" s="194"/>
    </row>
    <row r="710" spans="2:28" ht="14.25" customHeight="1">
      <c r="B710" s="194"/>
      <c r="C710" s="194"/>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c r="AA710" s="194"/>
      <c r="AB710" s="194"/>
    </row>
    <row r="711" spans="2:28" ht="14.25" customHeight="1">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c r="AA711" s="194"/>
      <c r="AB711" s="194"/>
    </row>
    <row r="712" spans="2:28" ht="14.25" customHeight="1">
      <c r="B712" s="194"/>
      <c r="C712" s="194"/>
      <c r="D712" s="194"/>
      <c r="E712" s="194"/>
      <c r="F712" s="194"/>
      <c r="G712" s="194"/>
      <c r="H712" s="194"/>
      <c r="I712" s="194"/>
      <c r="J712" s="194"/>
      <c r="K712" s="194"/>
      <c r="L712" s="194"/>
      <c r="M712" s="194"/>
      <c r="N712" s="194"/>
      <c r="O712" s="194"/>
      <c r="P712" s="194"/>
      <c r="Q712" s="194"/>
      <c r="R712" s="194"/>
      <c r="S712" s="194"/>
      <c r="T712" s="194"/>
      <c r="U712" s="194"/>
      <c r="V712" s="194"/>
      <c r="W712" s="194"/>
      <c r="X712" s="194"/>
      <c r="Y712" s="194"/>
      <c r="Z712" s="194"/>
      <c r="AA712" s="194"/>
      <c r="AB712" s="194"/>
    </row>
    <row r="713" spans="2:28" ht="14.25" customHeight="1">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c r="AA713" s="194"/>
      <c r="AB713" s="194"/>
    </row>
    <row r="714" spans="2:28" ht="14.25" customHeight="1">
      <c r="B714" s="194"/>
      <c r="C714" s="194"/>
      <c r="D714" s="194"/>
      <c r="E714" s="194"/>
      <c r="F714" s="194"/>
      <c r="G714" s="194"/>
      <c r="H714" s="194"/>
      <c r="I714" s="194"/>
      <c r="J714" s="194"/>
      <c r="K714" s="194"/>
      <c r="L714" s="194"/>
      <c r="M714" s="194"/>
      <c r="N714" s="194"/>
      <c r="O714" s="194"/>
      <c r="P714" s="194"/>
      <c r="Q714" s="194"/>
      <c r="R714" s="194"/>
      <c r="S714" s="194"/>
      <c r="T714" s="194"/>
      <c r="U714" s="194"/>
      <c r="V714" s="194"/>
      <c r="W714" s="194"/>
      <c r="X714" s="194"/>
      <c r="Y714" s="194"/>
      <c r="Z714" s="194"/>
      <c r="AA714" s="194"/>
      <c r="AB714" s="194"/>
    </row>
    <row r="715" spans="2:28" ht="14.25" customHeight="1">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c r="AA715" s="194"/>
      <c r="AB715" s="194"/>
    </row>
    <row r="716" spans="2:28" ht="14.25" customHeight="1">
      <c r="B716" s="194"/>
      <c r="C716" s="194"/>
      <c r="D716" s="194"/>
      <c r="E716" s="194"/>
      <c r="F716" s="194"/>
      <c r="G716" s="194"/>
      <c r="H716" s="194"/>
      <c r="I716" s="194"/>
      <c r="J716" s="194"/>
      <c r="K716" s="194"/>
      <c r="L716" s="194"/>
      <c r="M716" s="194"/>
      <c r="N716" s="194"/>
      <c r="O716" s="194"/>
      <c r="P716" s="194"/>
      <c r="Q716" s="194"/>
      <c r="R716" s="194"/>
      <c r="S716" s="194"/>
      <c r="T716" s="194"/>
      <c r="U716" s="194"/>
      <c r="V716" s="194"/>
      <c r="W716" s="194"/>
      <c r="X716" s="194"/>
      <c r="Y716" s="194"/>
      <c r="Z716" s="194"/>
      <c r="AA716" s="194"/>
      <c r="AB716" s="194"/>
    </row>
    <row r="717" spans="2:28" ht="14.25" customHeight="1">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c r="AA717" s="194"/>
      <c r="AB717" s="194"/>
    </row>
    <row r="718" spans="2:28" ht="14.25" customHeight="1">
      <c r="B718" s="194"/>
      <c r="C718" s="194"/>
      <c r="D718" s="194"/>
      <c r="E718" s="194"/>
      <c r="F718" s="194"/>
      <c r="G718" s="194"/>
      <c r="H718" s="194"/>
      <c r="I718" s="194"/>
      <c r="J718" s="194"/>
      <c r="K718" s="194"/>
      <c r="L718" s="194"/>
      <c r="M718" s="194"/>
      <c r="N718" s="194"/>
      <c r="O718" s="194"/>
      <c r="P718" s="194"/>
      <c r="Q718" s="194"/>
      <c r="R718" s="194"/>
      <c r="S718" s="194"/>
      <c r="T718" s="194"/>
      <c r="U718" s="194"/>
      <c r="V718" s="194"/>
      <c r="W718" s="194"/>
      <c r="X718" s="194"/>
      <c r="Y718" s="194"/>
      <c r="Z718" s="194"/>
      <c r="AA718" s="194"/>
      <c r="AB718" s="194"/>
    </row>
    <row r="719" spans="2:28" ht="14.25" customHeight="1">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c r="AA719" s="194"/>
      <c r="AB719" s="194"/>
    </row>
    <row r="720" spans="2:28" ht="14.25" customHeight="1">
      <c r="B720" s="194"/>
      <c r="C720" s="194"/>
      <c r="D720" s="194"/>
      <c r="E720" s="194"/>
      <c r="F720" s="194"/>
      <c r="G720" s="194"/>
      <c r="H720" s="194"/>
      <c r="I720" s="194"/>
      <c r="J720" s="194"/>
      <c r="K720" s="194"/>
      <c r="L720" s="194"/>
      <c r="M720" s="194"/>
      <c r="N720" s="194"/>
      <c r="O720" s="194"/>
      <c r="P720" s="194"/>
      <c r="Q720" s="194"/>
      <c r="R720" s="194"/>
      <c r="S720" s="194"/>
      <c r="T720" s="194"/>
      <c r="U720" s="194"/>
      <c r="V720" s="194"/>
      <c r="W720" s="194"/>
      <c r="X720" s="194"/>
      <c r="Y720" s="194"/>
      <c r="Z720" s="194"/>
      <c r="AA720" s="194"/>
      <c r="AB720" s="194"/>
    </row>
    <row r="721" spans="2:28" ht="14.25" customHeight="1">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c r="AA721" s="194"/>
      <c r="AB721" s="194"/>
    </row>
    <row r="722" spans="2:28" ht="14.25" customHeight="1">
      <c r="B722" s="194"/>
      <c r="C722" s="194"/>
      <c r="D722" s="194"/>
      <c r="E722" s="194"/>
      <c r="F722" s="194"/>
      <c r="G722" s="194"/>
      <c r="H722" s="194"/>
      <c r="I722" s="194"/>
      <c r="J722" s="194"/>
      <c r="K722" s="194"/>
      <c r="L722" s="194"/>
      <c r="M722" s="194"/>
      <c r="N722" s="194"/>
      <c r="O722" s="194"/>
      <c r="P722" s="194"/>
      <c r="Q722" s="194"/>
      <c r="R722" s="194"/>
      <c r="S722" s="194"/>
      <c r="T722" s="194"/>
      <c r="U722" s="194"/>
      <c r="V722" s="194"/>
      <c r="W722" s="194"/>
      <c r="X722" s="194"/>
      <c r="Y722" s="194"/>
      <c r="Z722" s="194"/>
      <c r="AA722" s="194"/>
      <c r="AB722" s="194"/>
    </row>
    <row r="723" spans="2:28" ht="14.25" customHeight="1">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c r="AA723" s="194"/>
      <c r="AB723" s="194"/>
    </row>
    <row r="724" spans="2:28" ht="14.25" customHeight="1">
      <c r="B724" s="194"/>
      <c r="C724" s="194"/>
      <c r="D724" s="194"/>
      <c r="E724" s="194"/>
      <c r="F724" s="194"/>
      <c r="G724" s="194"/>
      <c r="H724" s="194"/>
      <c r="I724" s="194"/>
      <c r="J724" s="194"/>
      <c r="K724" s="194"/>
      <c r="L724" s="194"/>
      <c r="M724" s="194"/>
      <c r="N724" s="194"/>
      <c r="O724" s="194"/>
      <c r="P724" s="194"/>
      <c r="Q724" s="194"/>
      <c r="R724" s="194"/>
      <c r="S724" s="194"/>
      <c r="T724" s="194"/>
      <c r="U724" s="194"/>
      <c r="V724" s="194"/>
      <c r="W724" s="194"/>
      <c r="X724" s="194"/>
      <c r="Y724" s="194"/>
      <c r="Z724" s="194"/>
      <c r="AA724" s="194"/>
      <c r="AB724" s="194"/>
    </row>
    <row r="725" spans="2:28" ht="14.25" customHeight="1">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c r="AA725" s="194"/>
      <c r="AB725" s="194"/>
    </row>
    <row r="726" spans="2:28" ht="14.25" customHeight="1">
      <c r="B726" s="194"/>
      <c r="C726" s="194"/>
      <c r="D726" s="194"/>
      <c r="E726" s="194"/>
      <c r="F726" s="194"/>
      <c r="G726" s="194"/>
      <c r="H726" s="194"/>
      <c r="I726" s="194"/>
      <c r="J726" s="194"/>
      <c r="K726" s="194"/>
      <c r="L726" s="194"/>
      <c r="M726" s="194"/>
      <c r="N726" s="194"/>
      <c r="O726" s="194"/>
      <c r="P726" s="194"/>
      <c r="Q726" s="194"/>
      <c r="R726" s="194"/>
      <c r="S726" s="194"/>
      <c r="T726" s="194"/>
      <c r="U726" s="194"/>
      <c r="V726" s="194"/>
      <c r="W726" s="194"/>
      <c r="X726" s="194"/>
      <c r="Y726" s="194"/>
      <c r="Z726" s="194"/>
      <c r="AA726" s="194"/>
      <c r="AB726" s="194"/>
    </row>
    <row r="727" spans="2:28" ht="14.25" customHeight="1">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c r="AA727" s="194"/>
      <c r="AB727" s="194"/>
    </row>
    <row r="728" spans="2:28" ht="14.25" customHeight="1">
      <c r="B728" s="194"/>
      <c r="C728" s="194"/>
      <c r="D728" s="194"/>
      <c r="E728" s="194"/>
      <c r="F728" s="194"/>
      <c r="G728" s="194"/>
      <c r="H728" s="194"/>
      <c r="I728" s="194"/>
      <c r="J728" s="194"/>
      <c r="K728" s="194"/>
      <c r="L728" s="194"/>
      <c r="M728" s="194"/>
      <c r="N728" s="194"/>
      <c r="O728" s="194"/>
      <c r="P728" s="194"/>
      <c r="Q728" s="194"/>
      <c r="R728" s="194"/>
      <c r="S728" s="194"/>
      <c r="T728" s="194"/>
      <c r="U728" s="194"/>
      <c r="V728" s="194"/>
      <c r="W728" s="194"/>
      <c r="X728" s="194"/>
      <c r="Y728" s="194"/>
      <c r="Z728" s="194"/>
      <c r="AA728" s="194"/>
      <c r="AB728" s="194"/>
    </row>
    <row r="729" spans="2:28" ht="14.25" customHeight="1">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c r="AA729" s="194"/>
      <c r="AB729" s="194"/>
    </row>
    <row r="730" spans="2:28" ht="14.25" customHeight="1">
      <c r="B730" s="194"/>
      <c r="C730" s="194"/>
      <c r="D730" s="194"/>
      <c r="E730" s="194"/>
      <c r="F730" s="194"/>
      <c r="G730" s="194"/>
      <c r="H730" s="194"/>
      <c r="I730" s="194"/>
      <c r="J730" s="194"/>
      <c r="K730" s="194"/>
      <c r="L730" s="194"/>
      <c r="M730" s="194"/>
      <c r="N730" s="194"/>
      <c r="O730" s="194"/>
      <c r="P730" s="194"/>
      <c r="Q730" s="194"/>
      <c r="R730" s="194"/>
      <c r="S730" s="194"/>
      <c r="T730" s="194"/>
      <c r="U730" s="194"/>
      <c r="V730" s="194"/>
      <c r="W730" s="194"/>
      <c r="X730" s="194"/>
      <c r="Y730" s="194"/>
      <c r="Z730" s="194"/>
      <c r="AA730" s="194"/>
      <c r="AB730" s="194"/>
    </row>
    <row r="731" spans="2:28" ht="14.25" customHeight="1">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c r="AA731" s="194"/>
      <c r="AB731" s="194"/>
    </row>
    <row r="732" spans="2:28" ht="14.25" customHeight="1">
      <c r="B732" s="194"/>
      <c r="C732" s="194"/>
      <c r="D732" s="194"/>
      <c r="E732" s="194"/>
      <c r="F732" s="194"/>
      <c r="G732" s="194"/>
      <c r="H732" s="194"/>
      <c r="I732" s="194"/>
      <c r="J732" s="194"/>
      <c r="K732" s="194"/>
      <c r="L732" s="194"/>
      <c r="M732" s="194"/>
      <c r="N732" s="194"/>
      <c r="O732" s="194"/>
      <c r="P732" s="194"/>
      <c r="Q732" s="194"/>
      <c r="R732" s="194"/>
      <c r="S732" s="194"/>
      <c r="T732" s="194"/>
      <c r="U732" s="194"/>
      <c r="V732" s="194"/>
      <c r="W732" s="194"/>
      <c r="X732" s="194"/>
      <c r="Y732" s="194"/>
      <c r="Z732" s="194"/>
      <c r="AA732" s="194"/>
      <c r="AB732" s="194"/>
    </row>
    <row r="733" spans="2:28" ht="14.25" customHeight="1">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c r="AA733" s="194"/>
      <c r="AB733" s="194"/>
    </row>
    <row r="734" spans="2:28" ht="14.25" customHeight="1">
      <c r="B734" s="194"/>
      <c r="C734" s="194"/>
      <c r="D734" s="194"/>
      <c r="E734" s="194"/>
      <c r="F734" s="194"/>
      <c r="G734" s="194"/>
      <c r="H734" s="194"/>
      <c r="I734" s="194"/>
      <c r="J734" s="194"/>
      <c r="K734" s="194"/>
      <c r="L734" s="194"/>
      <c r="M734" s="194"/>
      <c r="N734" s="194"/>
      <c r="O734" s="194"/>
      <c r="P734" s="194"/>
      <c r="Q734" s="194"/>
      <c r="R734" s="194"/>
      <c r="S734" s="194"/>
      <c r="T734" s="194"/>
      <c r="U734" s="194"/>
      <c r="V734" s="194"/>
      <c r="W734" s="194"/>
      <c r="X734" s="194"/>
      <c r="Y734" s="194"/>
      <c r="Z734" s="194"/>
      <c r="AA734" s="194"/>
      <c r="AB734" s="194"/>
    </row>
    <row r="735" spans="2:28" ht="14.25" customHeight="1">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c r="AA735" s="194"/>
      <c r="AB735" s="194"/>
    </row>
    <row r="736" spans="2:28" ht="14.25" customHeight="1">
      <c r="B736" s="194"/>
      <c r="C736" s="194"/>
      <c r="D736" s="194"/>
      <c r="E736" s="194"/>
      <c r="F736" s="194"/>
      <c r="G736" s="194"/>
      <c r="H736" s="194"/>
      <c r="I736" s="194"/>
      <c r="J736" s="194"/>
      <c r="K736" s="194"/>
      <c r="L736" s="194"/>
      <c r="M736" s="194"/>
      <c r="N736" s="194"/>
      <c r="O736" s="194"/>
      <c r="P736" s="194"/>
      <c r="Q736" s="194"/>
      <c r="R736" s="194"/>
      <c r="S736" s="194"/>
      <c r="T736" s="194"/>
      <c r="U736" s="194"/>
      <c r="V736" s="194"/>
      <c r="W736" s="194"/>
      <c r="X736" s="194"/>
      <c r="Y736" s="194"/>
      <c r="Z736" s="194"/>
      <c r="AA736" s="194"/>
      <c r="AB736" s="194"/>
    </row>
    <row r="737" spans="2:28" ht="14.25" customHeight="1">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c r="AA737" s="194"/>
      <c r="AB737" s="194"/>
    </row>
    <row r="738" spans="2:28" ht="14.25" customHeight="1">
      <c r="B738" s="194"/>
      <c r="C738" s="194"/>
      <c r="D738" s="194"/>
      <c r="E738" s="194"/>
      <c r="F738" s="194"/>
      <c r="G738" s="194"/>
      <c r="H738" s="194"/>
      <c r="I738" s="194"/>
      <c r="J738" s="194"/>
      <c r="K738" s="194"/>
      <c r="L738" s="194"/>
      <c r="M738" s="194"/>
      <c r="N738" s="194"/>
      <c r="O738" s="194"/>
      <c r="P738" s="194"/>
      <c r="Q738" s="194"/>
      <c r="R738" s="194"/>
      <c r="S738" s="194"/>
      <c r="T738" s="194"/>
      <c r="U738" s="194"/>
      <c r="V738" s="194"/>
      <c r="W738" s="194"/>
      <c r="X738" s="194"/>
      <c r="Y738" s="194"/>
      <c r="Z738" s="194"/>
      <c r="AA738" s="194"/>
      <c r="AB738" s="194"/>
    </row>
    <row r="739" spans="2:28" ht="14.25" customHeight="1">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c r="AA739" s="194"/>
      <c r="AB739" s="194"/>
    </row>
    <row r="740" spans="2:28" ht="14.25" customHeight="1">
      <c r="B740" s="194"/>
      <c r="C740" s="194"/>
      <c r="D740" s="194"/>
      <c r="E740" s="194"/>
      <c r="F740" s="194"/>
      <c r="G740" s="194"/>
      <c r="H740" s="194"/>
      <c r="I740" s="194"/>
      <c r="J740" s="194"/>
      <c r="K740" s="194"/>
      <c r="L740" s="194"/>
      <c r="M740" s="194"/>
      <c r="N740" s="194"/>
      <c r="O740" s="194"/>
      <c r="P740" s="194"/>
      <c r="Q740" s="194"/>
      <c r="R740" s="194"/>
      <c r="S740" s="194"/>
      <c r="T740" s="194"/>
      <c r="U740" s="194"/>
      <c r="V740" s="194"/>
      <c r="W740" s="194"/>
      <c r="X740" s="194"/>
      <c r="Y740" s="194"/>
      <c r="Z740" s="194"/>
      <c r="AA740" s="194"/>
      <c r="AB740" s="194"/>
    </row>
    <row r="741" spans="2:28" ht="14.25" customHeight="1">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c r="AA741" s="194"/>
      <c r="AB741" s="194"/>
    </row>
    <row r="742" spans="2:28" ht="14.25" customHeight="1">
      <c r="B742" s="194"/>
      <c r="C742" s="194"/>
      <c r="D742" s="194"/>
      <c r="E742" s="194"/>
      <c r="F742" s="194"/>
      <c r="G742" s="194"/>
      <c r="H742" s="194"/>
      <c r="I742" s="194"/>
      <c r="J742" s="194"/>
      <c r="K742" s="194"/>
      <c r="L742" s="194"/>
      <c r="M742" s="194"/>
      <c r="N742" s="194"/>
      <c r="O742" s="194"/>
      <c r="P742" s="194"/>
      <c r="Q742" s="194"/>
      <c r="R742" s="194"/>
      <c r="S742" s="194"/>
      <c r="T742" s="194"/>
      <c r="U742" s="194"/>
      <c r="V742" s="194"/>
      <c r="W742" s="194"/>
      <c r="X742" s="194"/>
      <c r="Y742" s="194"/>
      <c r="Z742" s="194"/>
      <c r="AA742" s="194"/>
      <c r="AB742" s="194"/>
    </row>
    <row r="743" spans="2:28" ht="14.25" customHeight="1">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c r="AA743" s="194"/>
      <c r="AB743" s="194"/>
    </row>
    <row r="744" spans="2:28" ht="14.25" customHeight="1">
      <c r="B744" s="194"/>
      <c r="C744" s="194"/>
      <c r="D744" s="194"/>
      <c r="E744" s="194"/>
      <c r="F744" s="194"/>
      <c r="G744" s="194"/>
      <c r="H744" s="194"/>
      <c r="I744" s="194"/>
      <c r="J744" s="194"/>
      <c r="K744" s="194"/>
      <c r="L744" s="194"/>
      <c r="M744" s="194"/>
      <c r="N744" s="194"/>
      <c r="O744" s="194"/>
      <c r="P744" s="194"/>
      <c r="Q744" s="194"/>
      <c r="R744" s="194"/>
      <c r="S744" s="194"/>
      <c r="T744" s="194"/>
      <c r="U744" s="194"/>
      <c r="V744" s="194"/>
      <c r="W744" s="194"/>
      <c r="X744" s="194"/>
      <c r="Y744" s="194"/>
      <c r="Z744" s="194"/>
      <c r="AA744" s="194"/>
      <c r="AB744" s="194"/>
    </row>
    <row r="745" spans="2:28" ht="14.25" customHeight="1">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c r="AA745" s="194"/>
      <c r="AB745" s="194"/>
    </row>
    <row r="746" spans="2:28" ht="14.25" customHeight="1">
      <c r="B746" s="194"/>
      <c r="C746" s="194"/>
      <c r="D746" s="194"/>
      <c r="E746" s="194"/>
      <c r="F746" s="194"/>
      <c r="G746" s="194"/>
      <c r="H746" s="194"/>
      <c r="I746" s="194"/>
      <c r="J746" s="194"/>
      <c r="K746" s="194"/>
      <c r="L746" s="194"/>
      <c r="M746" s="194"/>
      <c r="N746" s="194"/>
      <c r="O746" s="194"/>
      <c r="P746" s="194"/>
      <c r="Q746" s="194"/>
      <c r="R746" s="194"/>
      <c r="S746" s="194"/>
      <c r="T746" s="194"/>
      <c r="U746" s="194"/>
      <c r="V746" s="194"/>
      <c r="W746" s="194"/>
      <c r="X746" s="194"/>
      <c r="Y746" s="194"/>
      <c r="Z746" s="194"/>
      <c r="AA746" s="194"/>
      <c r="AB746" s="194"/>
    </row>
    <row r="747" spans="2:28" ht="14.25" customHeight="1">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c r="AA747" s="194"/>
      <c r="AB747" s="194"/>
    </row>
    <row r="748" spans="2:28" ht="14.25" customHeight="1">
      <c r="B748" s="194"/>
      <c r="C748" s="194"/>
      <c r="D748" s="194"/>
      <c r="E748" s="194"/>
      <c r="F748" s="194"/>
      <c r="G748" s="194"/>
      <c r="H748" s="194"/>
      <c r="I748" s="194"/>
      <c r="J748" s="194"/>
      <c r="K748" s="194"/>
      <c r="L748" s="194"/>
      <c r="M748" s="194"/>
      <c r="N748" s="194"/>
      <c r="O748" s="194"/>
      <c r="P748" s="194"/>
      <c r="Q748" s="194"/>
      <c r="R748" s="194"/>
      <c r="S748" s="194"/>
      <c r="T748" s="194"/>
      <c r="U748" s="194"/>
      <c r="V748" s="194"/>
      <c r="W748" s="194"/>
      <c r="X748" s="194"/>
      <c r="Y748" s="194"/>
      <c r="Z748" s="194"/>
      <c r="AA748" s="194"/>
      <c r="AB748" s="194"/>
    </row>
    <row r="749" spans="2:28" ht="14.25" customHeight="1">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c r="AA749" s="194"/>
      <c r="AB749" s="194"/>
    </row>
    <row r="750" spans="2:28" ht="14.25" customHeight="1">
      <c r="B750" s="194"/>
      <c r="C750" s="194"/>
      <c r="D750" s="194"/>
      <c r="E750" s="194"/>
      <c r="F750" s="194"/>
      <c r="G750" s="194"/>
      <c r="H750" s="194"/>
      <c r="I750" s="194"/>
      <c r="J750" s="194"/>
      <c r="K750" s="194"/>
      <c r="L750" s="194"/>
      <c r="M750" s="194"/>
      <c r="N750" s="194"/>
      <c r="O750" s="194"/>
      <c r="P750" s="194"/>
      <c r="Q750" s="194"/>
      <c r="R750" s="194"/>
      <c r="S750" s="194"/>
      <c r="T750" s="194"/>
      <c r="U750" s="194"/>
      <c r="V750" s="194"/>
      <c r="W750" s="194"/>
      <c r="X750" s="194"/>
      <c r="Y750" s="194"/>
      <c r="Z750" s="194"/>
      <c r="AA750" s="194"/>
      <c r="AB750" s="194"/>
    </row>
    <row r="751" spans="2:28" ht="14.25" customHeight="1">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c r="AA751" s="194"/>
      <c r="AB751" s="194"/>
    </row>
    <row r="752" spans="2:28" ht="14.25" customHeight="1">
      <c r="B752" s="194"/>
      <c r="C752" s="194"/>
      <c r="D752" s="194"/>
      <c r="E752" s="194"/>
      <c r="F752" s="194"/>
      <c r="G752" s="194"/>
      <c r="H752" s="194"/>
      <c r="I752" s="194"/>
      <c r="J752" s="194"/>
      <c r="K752" s="194"/>
      <c r="L752" s="194"/>
      <c r="M752" s="194"/>
      <c r="N752" s="194"/>
      <c r="O752" s="194"/>
      <c r="P752" s="194"/>
      <c r="Q752" s="194"/>
      <c r="R752" s="194"/>
      <c r="S752" s="194"/>
      <c r="T752" s="194"/>
      <c r="U752" s="194"/>
      <c r="V752" s="194"/>
      <c r="W752" s="194"/>
      <c r="X752" s="194"/>
      <c r="Y752" s="194"/>
      <c r="Z752" s="194"/>
      <c r="AA752" s="194"/>
      <c r="AB752" s="194"/>
    </row>
    <row r="753" spans="2:28" ht="14.25" customHeight="1">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c r="AA753" s="194"/>
      <c r="AB753" s="194"/>
    </row>
    <row r="754" spans="2:28" ht="14.25" customHeight="1">
      <c r="B754" s="194"/>
      <c r="C754" s="194"/>
      <c r="D754" s="194"/>
      <c r="E754" s="194"/>
      <c r="F754" s="194"/>
      <c r="G754" s="194"/>
      <c r="H754" s="194"/>
      <c r="I754" s="194"/>
      <c r="J754" s="194"/>
      <c r="K754" s="194"/>
      <c r="L754" s="194"/>
      <c r="M754" s="194"/>
      <c r="N754" s="194"/>
      <c r="O754" s="194"/>
      <c r="P754" s="194"/>
      <c r="Q754" s="194"/>
      <c r="R754" s="194"/>
      <c r="S754" s="194"/>
      <c r="T754" s="194"/>
      <c r="U754" s="194"/>
      <c r="V754" s="194"/>
      <c r="W754" s="194"/>
      <c r="X754" s="194"/>
      <c r="Y754" s="194"/>
      <c r="Z754" s="194"/>
      <c r="AA754" s="194"/>
      <c r="AB754" s="194"/>
    </row>
    <row r="755" spans="2:28" ht="14.25" customHeight="1">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c r="AA755" s="194"/>
      <c r="AB755" s="194"/>
    </row>
    <row r="756" spans="2:28" ht="14.25" customHeight="1">
      <c r="B756" s="194"/>
      <c r="C756" s="194"/>
      <c r="D756" s="194"/>
      <c r="E756" s="194"/>
      <c r="F756" s="194"/>
      <c r="G756" s="194"/>
      <c r="H756" s="194"/>
      <c r="I756" s="194"/>
      <c r="J756" s="194"/>
      <c r="K756" s="194"/>
      <c r="L756" s="194"/>
      <c r="M756" s="194"/>
      <c r="N756" s="194"/>
      <c r="O756" s="194"/>
      <c r="P756" s="194"/>
      <c r="Q756" s="194"/>
      <c r="R756" s="194"/>
      <c r="S756" s="194"/>
      <c r="T756" s="194"/>
      <c r="U756" s="194"/>
      <c r="V756" s="194"/>
      <c r="W756" s="194"/>
      <c r="X756" s="194"/>
      <c r="Y756" s="194"/>
      <c r="Z756" s="194"/>
      <c r="AA756" s="194"/>
      <c r="AB756" s="194"/>
    </row>
    <row r="757" spans="2:28" ht="14.25" customHeight="1">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c r="AA757" s="194"/>
      <c r="AB757" s="194"/>
    </row>
    <row r="758" spans="2:28" ht="14.25" customHeight="1">
      <c r="B758" s="194"/>
      <c r="C758" s="194"/>
      <c r="D758" s="194"/>
      <c r="E758" s="194"/>
      <c r="F758" s="194"/>
      <c r="G758" s="194"/>
      <c r="H758" s="194"/>
      <c r="I758" s="194"/>
      <c r="J758" s="194"/>
      <c r="K758" s="194"/>
      <c r="L758" s="194"/>
      <c r="M758" s="194"/>
      <c r="N758" s="194"/>
      <c r="O758" s="194"/>
      <c r="P758" s="194"/>
      <c r="Q758" s="194"/>
      <c r="R758" s="194"/>
      <c r="S758" s="194"/>
      <c r="T758" s="194"/>
      <c r="U758" s="194"/>
      <c r="V758" s="194"/>
      <c r="W758" s="194"/>
      <c r="X758" s="194"/>
      <c r="Y758" s="194"/>
      <c r="Z758" s="194"/>
      <c r="AA758" s="194"/>
      <c r="AB758" s="194"/>
    </row>
    <row r="759" spans="2:28" ht="14.25" customHeight="1">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c r="AA759" s="194"/>
      <c r="AB759" s="194"/>
    </row>
    <row r="760" spans="2:28" ht="14.25" customHeight="1">
      <c r="B760" s="194"/>
      <c r="C760" s="194"/>
      <c r="D760" s="194"/>
      <c r="E760" s="194"/>
      <c r="F760" s="194"/>
      <c r="G760" s="194"/>
      <c r="H760" s="194"/>
      <c r="I760" s="194"/>
      <c r="J760" s="194"/>
      <c r="K760" s="194"/>
      <c r="L760" s="194"/>
      <c r="M760" s="194"/>
      <c r="N760" s="194"/>
      <c r="O760" s="194"/>
      <c r="P760" s="194"/>
      <c r="Q760" s="194"/>
      <c r="R760" s="194"/>
      <c r="S760" s="194"/>
      <c r="T760" s="194"/>
      <c r="U760" s="194"/>
      <c r="V760" s="194"/>
      <c r="W760" s="194"/>
      <c r="X760" s="194"/>
      <c r="Y760" s="194"/>
      <c r="Z760" s="194"/>
      <c r="AA760" s="194"/>
      <c r="AB760" s="194"/>
    </row>
    <row r="761" spans="2:28" ht="14.25" customHeight="1">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c r="AA761" s="194"/>
      <c r="AB761" s="194"/>
    </row>
    <row r="762" spans="2:28" ht="14.25" customHeight="1">
      <c r="B762" s="194"/>
      <c r="C762" s="194"/>
      <c r="D762" s="194"/>
      <c r="E762" s="194"/>
      <c r="F762" s="194"/>
      <c r="G762" s="194"/>
      <c r="H762" s="194"/>
      <c r="I762" s="194"/>
      <c r="J762" s="194"/>
      <c r="K762" s="194"/>
      <c r="L762" s="194"/>
      <c r="M762" s="194"/>
      <c r="N762" s="194"/>
      <c r="O762" s="194"/>
      <c r="P762" s="194"/>
      <c r="Q762" s="194"/>
      <c r="R762" s="194"/>
      <c r="S762" s="194"/>
      <c r="T762" s="194"/>
      <c r="U762" s="194"/>
      <c r="V762" s="194"/>
      <c r="W762" s="194"/>
      <c r="X762" s="194"/>
      <c r="Y762" s="194"/>
      <c r="Z762" s="194"/>
      <c r="AA762" s="194"/>
      <c r="AB762" s="194"/>
    </row>
    <row r="763" spans="2:28" ht="14.25" customHeight="1">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c r="AA763" s="194"/>
      <c r="AB763" s="194"/>
    </row>
    <row r="764" spans="2:28" ht="14.25" customHeight="1">
      <c r="B764" s="194"/>
      <c r="C764" s="194"/>
      <c r="D764" s="194"/>
      <c r="E764" s="194"/>
      <c r="F764" s="194"/>
      <c r="G764" s="194"/>
      <c r="H764" s="194"/>
      <c r="I764" s="194"/>
      <c r="J764" s="194"/>
      <c r="K764" s="194"/>
      <c r="L764" s="194"/>
      <c r="M764" s="194"/>
      <c r="N764" s="194"/>
      <c r="O764" s="194"/>
      <c r="P764" s="194"/>
      <c r="Q764" s="194"/>
      <c r="R764" s="194"/>
      <c r="S764" s="194"/>
      <c r="T764" s="194"/>
      <c r="U764" s="194"/>
      <c r="V764" s="194"/>
      <c r="W764" s="194"/>
      <c r="X764" s="194"/>
      <c r="Y764" s="194"/>
      <c r="Z764" s="194"/>
      <c r="AA764" s="194"/>
      <c r="AB764" s="194"/>
    </row>
    <row r="765" spans="2:28" ht="14.25" customHeight="1">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c r="AA765" s="194"/>
      <c r="AB765" s="194"/>
    </row>
    <row r="766" spans="2:28" ht="14.25" customHeight="1">
      <c r="B766" s="194"/>
      <c r="C766" s="194"/>
      <c r="D766" s="194"/>
      <c r="E766" s="194"/>
      <c r="F766" s="194"/>
      <c r="G766" s="194"/>
      <c r="H766" s="194"/>
      <c r="I766" s="194"/>
      <c r="J766" s="194"/>
      <c r="K766" s="194"/>
      <c r="L766" s="194"/>
      <c r="M766" s="194"/>
      <c r="N766" s="194"/>
      <c r="O766" s="194"/>
      <c r="P766" s="194"/>
      <c r="Q766" s="194"/>
      <c r="R766" s="194"/>
      <c r="S766" s="194"/>
      <c r="T766" s="194"/>
      <c r="U766" s="194"/>
      <c r="V766" s="194"/>
      <c r="W766" s="194"/>
      <c r="X766" s="194"/>
      <c r="Y766" s="194"/>
      <c r="Z766" s="194"/>
      <c r="AA766" s="194"/>
      <c r="AB766" s="194"/>
    </row>
    <row r="767" spans="2:28" ht="14.25" customHeight="1">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c r="AA767" s="194"/>
      <c r="AB767" s="194"/>
    </row>
    <row r="768" spans="2:28" ht="14.25" customHeight="1">
      <c r="B768" s="194"/>
      <c r="C768" s="194"/>
      <c r="D768" s="194"/>
      <c r="E768" s="194"/>
      <c r="F768" s="194"/>
      <c r="G768" s="194"/>
      <c r="H768" s="194"/>
      <c r="I768" s="194"/>
      <c r="J768" s="194"/>
      <c r="K768" s="194"/>
      <c r="L768" s="194"/>
      <c r="M768" s="194"/>
      <c r="N768" s="194"/>
      <c r="O768" s="194"/>
      <c r="P768" s="194"/>
      <c r="Q768" s="194"/>
      <c r="R768" s="194"/>
      <c r="S768" s="194"/>
      <c r="T768" s="194"/>
      <c r="U768" s="194"/>
      <c r="V768" s="194"/>
      <c r="W768" s="194"/>
      <c r="X768" s="194"/>
      <c r="Y768" s="194"/>
      <c r="Z768" s="194"/>
      <c r="AA768" s="194"/>
      <c r="AB768" s="194"/>
    </row>
    <row r="769" spans="2:28" ht="14.25" customHeight="1">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c r="AA769" s="194"/>
      <c r="AB769" s="194"/>
    </row>
    <row r="770" spans="2:28" ht="14.25" customHeight="1">
      <c r="B770" s="194"/>
      <c r="C770" s="194"/>
      <c r="D770" s="194"/>
      <c r="E770" s="194"/>
      <c r="F770" s="194"/>
      <c r="G770" s="194"/>
      <c r="H770" s="194"/>
      <c r="I770" s="194"/>
      <c r="J770" s="194"/>
      <c r="K770" s="194"/>
      <c r="L770" s="194"/>
      <c r="M770" s="194"/>
      <c r="N770" s="194"/>
      <c r="O770" s="194"/>
      <c r="P770" s="194"/>
      <c r="Q770" s="194"/>
      <c r="R770" s="194"/>
      <c r="S770" s="194"/>
      <c r="T770" s="194"/>
      <c r="U770" s="194"/>
      <c r="V770" s="194"/>
      <c r="W770" s="194"/>
      <c r="X770" s="194"/>
      <c r="Y770" s="194"/>
      <c r="Z770" s="194"/>
      <c r="AA770" s="194"/>
      <c r="AB770" s="194"/>
    </row>
    <row r="771" spans="2:28" ht="14.25" customHeight="1">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c r="AA771" s="194"/>
      <c r="AB771" s="194"/>
    </row>
    <row r="772" spans="2:28" ht="14.25" customHeight="1">
      <c r="B772" s="194"/>
      <c r="C772" s="194"/>
      <c r="D772" s="194"/>
      <c r="E772" s="194"/>
      <c r="F772" s="194"/>
      <c r="G772" s="194"/>
      <c r="H772" s="194"/>
      <c r="I772" s="194"/>
      <c r="J772" s="194"/>
      <c r="K772" s="194"/>
      <c r="L772" s="194"/>
      <c r="M772" s="194"/>
      <c r="N772" s="194"/>
      <c r="O772" s="194"/>
      <c r="P772" s="194"/>
      <c r="Q772" s="194"/>
      <c r="R772" s="194"/>
      <c r="S772" s="194"/>
      <c r="T772" s="194"/>
      <c r="U772" s="194"/>
      <c r="V772" s="194"/>
      <c r="W772" s="194"/>
      <c r="X772" s="194"/>
      <c r="Y772" s="194"/>
      <c r="Z772" s="194"/>
      <c r="AA772" s="194"/>
      <c r="AB772" s="194"/>
    </row>
    <row r="773" spans="2:28" ht="14.25" customHeight="1">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c r="AA773" s="194"/>
      <c r="AB773" s="194"/>
    </row>
    <row r="774" spans="2:28" ht="14.25" customHeight="1">
      <c r="B774" s="194"/>
      <c r="C774" s="194"/>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c r="AA774" s="194"/>
      <c r="AB774" s="194"/>
    </row>
    <row r="775" spans="2:28" ht="14.25" customHeight="1">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c r="AA775" s="194"/>
      <c r="AB775" s="194"/>
    </row>
    <row r="776" spans="2:28" ht="14.25" customHeight="1">
      <c r="B776" s="194"/>
      <c r="C776" s="194"/>
      <c r="D776" s="194"/>
      <c r="E776" s="194"/>
      <c r="F776" s="194"/>
      <c r="G776" s="194"/>
      <c r="H776" s="194"/>
      <c r="I776" s="194"/>
      <c r="J776" s="194"/>
      <c r="K776" s="194"/>
      <c r="L776" s="194"/>
      <c r="M776" s="194"/>
      <c r="N776" s="194"/>
      <c r="O776" s="194"/>
      <c r="P776" s="194"/>
      <c r="Q776" s="194"/>
      <c r="R776" s="194"/>
      <c r="S776" s="194"/>
      <c r="T776" s="194"/>
      <c r="U776" s="194"/>
      <c r="V776" s="194"/>
      <c r="W776" s="194"/>
      <c r="X776" s="194"/>
      <c r="Y776" s="194"/>
      <c r="Z776" s="194"/>
      <c r="AA776" s="194"/>
      <c r="AB776" s="194"/>
    </row>
    <row r="777" spans="2:28" ht="14.25" customHeight="1">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c r="AA777" s="194"/>
      <c r="AB777" s="194"/>
    </row>
    <row r="778" spans="2:28" ht="14.25" customHeight="1">
      <c r="B778" s="194"/>
      <c r="C778" s="194"/>
      <c r="D778" s="194"/>
      <c r="E778" s="194"/>
      <c r="F778" s="194"/>
      <c r="G778" s="194"/>
      <c r="H778" s="194"/>
      <c r="I778" s="194"/>
      <c r="J778" s="194"/>
      <c r="K778" s="194"/>
      <c r="L778" s="194"/>
      <c r="M778" s="194"/>
      <c r="N778" s="194"/>
      <c r="O778" s="194"/>
      <c r="P778" s="194"/>
      <c r="Q778" s="194"/>
      <c r="R778" s="194"/>
      <c r="S778" s="194"/>
      <c r="T778" s="194"/>
      <c r="U778" s="194"/>
      <c r="V778" s="194"/>
      <c r="W778" s="194"/>
      <c r="X778" s="194"/>
      <c r="Y778" s="194"/>
      <c r="Z778" s="194"/>
      <c r="AA778" s="194"/>
      <c r="AB778" s="194"/>
    </row>
    <row r="779" spans="2:28" ht="14.25" customHeight="1">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c r="AA779" s="194"/>
      <c r="AB779" s="194"/>
    </row>
    <row r="780" spans="2:28" ht="14.25" customHeight="1">
      <c r="B780" s="194"/>
      <c r="C780" s="194"/>
      <c r="D780" s="194"/>
      <c r="E780" s="194"/>
      <c r="F780" s="194"/>
      <c r="G780" s="194"/>
      <c r="H780" s="194"/>
      <c r="I780" s="194"/>
      <c r="J780" s="194"/>
      <c r="K780" s="194"/>
      <c r="L780" s="194"/>
      <c r="M780" s="194"/>
      <c r="N780" s="194"/>
      <c r="O780" s="194"/>
      <c r="P780" s="194"/>
      <c r="Q780" s="194"/>
      <c r="R780" s="194"/>
      <c r="S780" s="194"/>
      <c r="T780" s="194"/>
      <c r="U780" s="194"/>
      <c r="V780" s="194"/>
      <c r="W780" s="194"/>
      <c r="X780" s="194"/>
      <c r="Y780" s="194"/>
      <c r="Z780" s="194"/>
      <c r="AA780" s="194"/>
      <c r="AB780" s="194"/>
    </row>
    <row r="781" spans="2:28" ht="14.25" customHeight="1">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c r="AA781" s="194"/>
      <c r="AB781" s="194"/>
    </row>
    <row r="782" spans="2:28" ht="14.25" customHeight="1">
      <c r="B782" s="194"/>
      <c r="C782" s="194"/>
      <c r="D782" s="194"/>
      <c r="E782" s="194"/>
      <c r="F782" s="194"/>
      <c r="G782" s="194"/>
      <c r="H782" s="194"/>
      <c r="I782" s="194"/>
      <c r="J782" s="194"/>
      <c r="K782" s="194"/>
      <c r="L782" s="194"/>
      <c r="M782" s="194"/>
      <c r="N782" s="194"/>
      <c r="O782" s="194"/>
      <c r="P782" s="194"/>
      <c r="Q782" s="194"/>
      <c r="R782" s="194"/>
      <c r="S782" s="194"/>
      <c r="T782" s="194"/>
      <c r="U782" s="194"/>
      <c r="V782" s="194"/>
      <c r="W782" s="194"/>
      <c r="X782" s="194"/>
      <c r="Y782" s="194"/>
      <c r="Z782" s="194"/>
      <c r="AA782" s="194"/>
      <c r="AB782" s="194"/>
    </row>
    <row r="783" spans="2:28" ht="14.25" customHeight="1">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c r="AA783" s="194"/>
      <c r="AB783" s="194"/>
    </row>
    <row r="784" spans="2:28" ht="14.25" customHeight="1">
      <c r="B784" s="194"/>
      <c r="C784" s="194"/>
      <c r="D784" s="194"/>
      <c r="E784" s="194"/>
      <c r="F784" s="194"/>
      <c r="G784" s="194"/>
      <c r="H784" s="194"/>
      <c r="I784" s="194"/>
      <c r="J784" s="194"/>
      <c r="K784" s="194"/>
      <c r="L784" s="194"/>
      <c r="M784" s="194"/>
      <c r="N784" s="194"/>
      <c r="O784" s="194"/>
      <c r="P784" s="194"/>
      <c r="Q784" s="194"/>
      <c r="R784" s="194"/>
      <c r="S784" s="194"/>
      <c r="T784" s="194"/>
      <c r="U784" s="194"/>
      <c r="V784" s="194"/>
      <c r="W784" s="194"/>
      <c r="X784" s="194"/>
      <c r="Y784" s="194"/>
      <c r="Z784" s="194"/>
      <c r="AA784" s="194"/>
      <c r="AB784" s="194"/>
    </row>
    <row r="785" spans="2:28" ht="14.25" customHeight="1">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c r="AA785" s="194"/>
      <c r="AB785" s="194"/>
    </row>
    <row r="786" spans="2:28" ht="14.25" customHeight="1">
      <c r="B786" s="194"/>
      <c r="C786" s="194"/>
      <c r="D786" s="194"/>
      <c r="E786" s="194"/>
      <c r="F786" s="194"/>
      <c r="G786" s="194"/>
      <c r="H786" s="194"/>
      <c r="I786" s="194"/>
      <c r="J786" s="194"/>
      <c r="K786" s="194"/>
      <c r="L786" s="194"/>
      <c r="M786" s="194"/>
      <c r="N786" s="194"/>
      <c r="O786" s="194"/>
      <c r="P786" s="194"/>
      <c r="Q786" s="194"/>
      <c r="R786" s="194"/>
      <c r="S786" s="194"/>
      <c r="T786" s="194"/>
      <c r="U786" s="194"/>
      <c r="V786" s="194"/>
      <c r="W786" s="194"/>
      <c r="X786" s="194"/>
      <c r="Y786" s="194"/>
      <c r="Z786" s="194"/>
      <c r="AA786" s="194"/>
      <c r="AB786" s="194"/>
    </row>
    <row r="787" spans="2:28" ht="14.25" customHeight="1">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c r="AA787" s="194"/>
      <c r="AB787" s="194"/>
    </row>
    <row r="788" spans="2:28" ht="14.25" customHeight="1">
      <c r="B788" s="194"/>
      <c r="C788" s="194"/>
      <c r="D788" s="194"/>
      <c r="E788" s="194"/>
      <c r="F788" s="194"/>
      <c r="G788" s="194"/>
      <c r="H788" s="194"/>
      <c r="I788" s="194"/>
      <c r="J788" s="194"/>
      <c r="K788" s="194"/>
      <c r="L788" s="194"/>
      <c r="M788" s="194"/>
      <c r="N788" s="194"/>
      <c r="O788" s="194"/>
      <c r="P788" s="194"/>
      <c r="Q788" s="194"/>
      <c r="R788" s="194"/>
      <c r="S788" s="194"/>
      <c r="T788" s="194"/>
      <c r="U788" s="194"/>
      <c r="V788" s="194"/>
      <c r="W788" s="194"/>
      <c r="X788" s="194"/>
      <c r="Y788" s="194"/>
      <c r="Z788" s="194"/>
      <c r="AA788" s="194"/>
      <c r="AB788" s="194"/>
    </row>
    <row r="789" spans="2:28" ht="14.25" customHeight="1">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c r="AA789" s="194"/>
      <c r="AB789" s="194"/>
    </row>
    <row r="790" spans="2:28" ht="14.25" customHeight="1">
      <c r="B790" s="194"/>
      <c r="C790" s="194"/>
      <c r="D790" s="194"/>
      <c r="E790" s="194"/>
      <c r="F790" s="194"/>
      <c r="G790" s="194"/>
      <c r="H790" s="194"/>
      <c r="I790" s="194"/>
      <c r="J790" s="194"/>
      <c r="K790" s="194"/>
      <c r="L790" s="194"/>
      <c r="M790" s="194"/>
      <c r="N790" s="194"/>
      <c r="O790" s="194"/>
      <c r="P790" s="194"/>
      <c r="Q790" s="194"/>
      <c r="R790" s="194"/>
      <c r="S790" s="194"/>
      <c r="T790" s="194"/>
      <c r="U790" s="194"/>
      <c r="V790" s="194"/>
      <c r="W790" s="194"/>
      <c r="X790" s="194"/>
      <c r="Y790" s="194"/>
      <c r="Z790" s="194"/>
      <c r="AA790" s="194"/>
      <c r="AB790" s="194"/>
    </row>
    <row r="791" spans="2:28" ht="14.25" customHeight="1">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c r="AA791" s="194"/>
      <c r="AB791" s="194"/>
    </row>
    <row r="792" spans="2:28" ht="14.25" customHeight="1">
      <c r="B792" s="194"/>
      <c r="C792" s="194"/>
      <c r="D792" s="194"/>
      <c r="E792" s="194"/>
      <c r="F792" s="194"/>
      <c r="G792" s="194"/>
      <c r="H792" s="194"/>
      <c r="I792" s="194"/>
      <c r="J792" s="194"/>
      <c r="K792" s="194"/>
      <c r="L792" s="194"/>
      <c r="M792" s="194"/>
      <c r="N792" s="194"/>
      <c r="O792" s="194"/>
      <c r="P792" s="194"/>
      <c r="Q792" s="194"/>
      <c r="R792" s="194"/>
      <c r="S792" s="194"/>
      <c r="T792" s="194"/>
      <c r="U792" s="194"/>
      <c r="V792" s="194"/>
      <c r="W792" s="194"/>
      <c r="X792" s="194"/>
      <c r="Y792" s="194"/>
      <c r="Z792" s="194"/>
      <c r="AA792" s="194"/>
      <c r="AB792" s="194"/>
    </row>
    <row r="793" spans="2:28" ht="14.25" customHeight="1">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c r="AA793" s="194"/>
      <c r="AB793" s="194"/>
    </row>
    <row r="794" spans="2:28" ht="14.25" customHeight="1">
      <c r="B794" s="194"/>
      <c r="C794" s="194"/>
      <c r="D794" s="194"/>
      <c r="E794" s="194"/>
      <c r="F794" s="194"/>
      <c r="G794" s="194"/>
      <c r="H794" s="194"/>
      <c r="I794" s="194"/>
      <c r="J794" s="194"/>
      <c r="K794" s="194"/>
      <c r="L794" s="194"/>
      <c r="M794" s="194"/>
      <c r="N794" s="194"/>
      <c r="O794" s="194"/>
      <c r="P794" s="194"/>
      <c r="Q794" s="194"/>
      <c r="R794" s="194"/>
      <c r="S794" s="194"/>
      <c r="T794" s="194"/>
      <c r="U794" s="194"/>
      <c r="V794" s="194"/>
      <c r="W794" s="194"/>
      <c r="X794" s="194"/>
      <c r="Y794" s="194"/>
      <c r="Z794" s="194"/>
      <c r="AA794" s="194"/>
      <c r="AB794" s="194"/>
    </row>
    <row r="795" spans="2:28" ht="14.25" customHeight="1">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c r="AA795" s="194"/>
      <c r="AB795" s="194"/>
    </row>
    <row r="796" spans="2:28" ht="14.25" customHeight="1">
      <c r="B796" s="194"/>
      <c r="C796" s="194"/>
      <c r="D796" s="194"/>
      <c r="E796" s="194"/>
      <c r="F796" s="194"/>
      <c r="G796" s="194"/>
      <c r="H796" s="194"/>
      <c r="I796" s="194"/>
      <c r="J796" s="194"/>
      <c r="K796" s="194"/>
      <c r="L796" s="194"/>
      <c r="M796" s="194"/>
      <c r="N796" s="194"/>
      <c r="O796" s="194"/>
      <c r="P796" s="194"/>
      <c r="Q796" s="194"/>
      <c r="R796" s="194"/>
      <c r="S796" s="194"/>
      <c r="T796" s="194"/>
      <c r="U796" s="194"/>
      <c r="V796" s="194"/>
      <c r="W796" s="194"/>
      <c r="X796" s="194"/>
      <c r="Y796" s="194"/>
      <c r="Z796" s="194"/>
      <c r="AA796" s="194"/>
      <c r="AB796" s="194"/>
    </row>
    <row r="797" spans="2:28" ht="14.25" customHeight="1">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c r="AA797" s="194"/>
      <c r="AB797" s="194"/>
    </row>
    <row r="798" spans="2:28" ht="14.25" customHeight="1">
      <c r="B798" s="194"/>
      <c r="C798" s="194"/>
      <c r="D798" s="194"/>
      <c r="E798" s="194"/>
      <c r="F798" s="194"/>
      <c r="G798" s="194"/>
      <c r="H798" s="194"/>
      <c r="I798" s="194"/>
      <c r="J798" s="194"/>
      <c r="K798" s="194"/>
      <c r="L798" s="194"/>
      <c r="M798" s="194"/>
      <c r="N798" s="194"/>
      <c r="O798" s="194"/>
      <c r="P798" s="194"/>
      <c r="Q798" s="194"/>
      <c r="R798" s="194"/>
      <c r="S798" s="194"/>
      <c r="T798" s="194"/>
      <c r="U798" s="194"/>
      <c r="V798" s="194"/>
      <c r="W798" s="194"/>
      <c r="X798" s="194"/>
      <c r="Y798" s="194"/>
      <c r="Z798" s="194"/>
      <c r="AA798" s="194"/>
      <c r="AB798" s="194"/>
    </row>
    <row r="799" spans="2:28" ht="14.25" customHeight="1">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c r="AA799" s="194"/>
      <c r="AB799" s="194"/>
    </row>
    <row r="800" spans="2:28" ht="14.25" customHeight="1">
      <c r="B800" s="194"/>
      <c r="C800" s="194"/>
      <c r="D800" s="194"/>
      <c r="E800" s="194"/>
      <c r="F800" s="194"/>
      <c r="G800" s="194"/>
      <c r="H800" s="194"/>
      <c r="I800" s="194"/>
      <c r="J800" s="194"/>
      <c r="K800" s="194"/>
      <c r="L800" s="194"/>
      <c r="M800" s="194"/>
      <c r="N800" s="194"/>
      <c r="O800" s="194"/>
      <c r="P800" s="194"/>
      <c r="Q800" s="194"/>
      <c r="R800" s="194"/>
      <c r="S800" s="194"/>
      <c r="T800" s="194"/>
      <c r="U800" s="194"/>
      <c r="V800" s="194"/>
      <c r="W800" s="194"/>
      <c r="X800" s="194"/>
      <c r="Y800" s="194"/>
      <c r="Z800" s="194"/>
      <c r="AA800" s="194"/>
      <c r="AB800" s="194"/>
    </row>
    <row r="801" spans="2:28" ht="14.25" customHeight="1">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c r="AA801" s="194"/>
      <c r="AB801" s="194"/>
    </row>
    <row r="802" spans="2:28" ht="14.25" customHeight="1">
      <c r="B802" s="194"/>
      <c r="C802" s="194"/>
      <c r="D802" s="194"/>
      <c r="E802" s="194"/>
      <c r="F802" s="194"/>
      <c r="G802" s="194"/>
      <c r="H802" s="194"/>
      <c r="I802" s="194"/>
      <c r="J802" s="194"/>
      <c r="K802" s="194"/>
      <c r="L802" s="194"/>
      <c r="M802" s="194"/>
      <c r="N802" s="194"/>
      <c r="O802" s="194"/>
      <c r="P802" s="194"/>
      <c r="Q802" s="194"/>
      <c r="R802" s="194"/>
      <c r="S802" s="194"/>
      <c r="T802" s="194"/>
      <c r="U802" s="194"/>
      <c r="V802" s="194"/>
      <c r="W802" s="194"/>
      <c r="X802" s="194"/>
      <c r="Y802" s="194"/>
      <c r="Z802" s="194"/>
      <c r="AA802" s="194"/>
      <c r="AB802" s="194"/>
    </row>
    <row r="803" spans="2:28" ht="14.25" customHeight="1">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c r="AA803" s="194"/>
      <c r="AB803" s="194"/>
    </row>
    <row r="804" spans="2:28" ht="14.25" customHeight="1">
      <c r="B804" s="194"/>
      <c r="C804" s="194"/>
      <c r="D804" s="194"/>
      <c r="E804" s="194"/>
      <c r="F804" s="194"/>
      <c r="G804" s="194"/>
      <c r="H804" s="194"/>
      <c r="I804" s="194"/>
      <c r="J804" s="194"/>
      <c r="K804" s="194"/>
      <c r="L804" s="194"/>
      <c r="M804" s="194"/>
      <c r="N804" s="194"/>
      <c r="O804" s="194"/>
      <c r="P804" s="194"/>
      <c r="Q804" s="194"/>
      <c r="R804" s="194"/>
      <c r="S804" s="194"/>
      <c r="T804" s="194"/>
      <c r="U804" s="194"/>
      <c r="V804" s="194"/>
      <c r="W804" s="194"/>
      <c r="X804" s="194"/>
      <c r="Y804" s="194"/>
      <c r="Z804" s="194"/>
      <c r="AA804" s="194"/>
      <c r="AB804" s="194"/>
    </row>
    <row r="805" spans="2:28" ht="14.25" customHeight="1">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c r="AA805" s="194"/>
      <c r="AB805" s="194"/>
    </row>
    <row r="806" spans="2:28" ht="14.25" customHeight="1">
      <c r="B806" s="194"/>
      <c r="C806" s="194"/>
      <c r="D806" s="194"/>
      <c r="E806" s="194"/>
      <c r="F806" s="194"/>
      <c r="G806" s="194"/>
      <c r="H806" s="194"/>
      <c r="I806" s="194"/>
      <c r="J806" s="194"/>
      <c r="K806" s="194"/>
      <c r="L806" s="194"/>
      <c r="M806" s="194"/>
      <c r="N806" s="194"/>
      <c r="O806" s="194"/>
      <c r="P806" s="194"/>
      <c r="Q806" s="194"/>
      <c r="R806" s="194"/>
      <c r="S806" s="194"/>
      <c r="T806" s="194"/>
      <c r="U806" s="194"/>
      <c r="V806" s="194"/>
      <c r="W806" s="194"/>
      <c r="X806" s="194"/>
      <c r="Y806" s="194"/>
      <c r="Z806" s="194"/>
      <c r="AA806" s="194"/>
      <c r="AB806" s="194"/>
    </row>
    <row r="807" spans="2:28" ht="14.25" customHeight="1">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c r="AA807" s="194"/>
      <c r="AB807" s="194"/>
    </row>
    <row r="808" spans="2:28" ht="14.25" customHeight="1">
      <c r="B808" s="194"/>
      <c r="C808" s="194"/>
      <c r="D808" s="194"/>
      <c r="E808" s="194"/>
      <c r="F808" s="194"/>
      <c r="G808" s="194"/>
      <c r="H808" s="194"/>
      <c r="I808" s="194"/>
      <c r="J808" s="194"/>
      <c r="K808" s="194"/>
      <c r="L808" s="194"/>
      <c r="M808" s="194"/>
      <c r="N808" s="194"/>
      <c r="O808" s="194"/>
      <c r="P808" s="194"/>
      <c r="Q808" s="194"/>
      <c r="R808" s="194"/>
      <c r="S808" s="194"/>
      <c r="T808" s="194"/>
      <c r="U808" s="194"/>
      <c r="V808" s="194"/>
      <c r="W808" s="194"/>
      <c r="X808" s="194"/>
      <c r="Y808" s="194"/>
      <c r="Z808" s="194"/>
      <c r="AA808" s="194"/>
      <c r="AB808" s="194"/>
    </row>
    <row r="809" spans="2:28" ht="14.25" customHeight="1">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c r="AA809" s="194"/>
      <c r="AB809" s="194"/>
    </row>
    <row r="810" spans="2:28" ht="14.25" customHeight="1">
      <c r="B810" s="194"/>
      <c r="C810" s="194"/>
      <c r="D810" s="194"/>
      <c r="E810" s="194"/>
      <c r="F810" s="194"/>
      <c r="G810" s="194"/>
      <c r="H810" s="194"/>
      <c r="I810" s="194"/>
      <c r="J810" s="194"/>
      <c r="K810" s="194"/>
      <c r="L810" s="194"/>
      <c r="M810" s="194"/>
      <c r="N810" s="194"/>
      <c r="O810" s="194"/>
      <c r="P810" s="194"/>
      <c r="Q810" s="194"/>
      <c r="R810" s="194"/>
      <c r="S810" s="194"/>
      <c r="T810" s="194"/>
      <c r="U810" s="194"/>
      <c r="V810" s="194"/>
      <c r="W810" s="194"/>
      <c r="X810" s="194"/>
      <c r="Y810" s="194"/>
      <c r="Z810" s="194"/>
      <c r="AA810" s="194"/>
      <c r="AB810" s="194"/>
    </row>
    <row r="811" spans="2:28" ht="14.25" customHeight="1">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c r="AA811" s="194"/>
      <c r="AB811" s="194"/>
    </row>
    <row r="812" spans="2:28" ht="14.25" customHeight="1">
      <c r="B812" s="194"/>
      <c r="C812" s="194"/>
      <c r="D812" s="194"/>
      <c r="E812" s="194"/>
      <c r="F812" s="194"/>
      <c r="G812" s="194"/>
      <c r="H812" s="194"/>
      <c r="I812" s="194"/>
      <c r="J812" s="194"/>
      <c r="K812" s="194"/>
      <c r="L812" s="194"/>
      <c r="M812" s="194"/>
      <c r="N812" s="194"/>
      <c r="O812" s="194"/>
      <c r="P812" s="194"/>
      <c r="Q812" s="194"/>
      <c r="R812" s="194"/>
      <c r="S812" s="194"/>
      <c r="T812" s="194"/>
      <c r="U812" s="194"/>
      <c r="V812" s="194"/>
      <c r="W812" s="194"/>
      <c r="X812" s="194"/>
      <c r="Y812" s="194"/>
      <c r="Z812" s="194"/>
      <c r="AA812" s="194"/>
      <c r="AB812" s="194"/>
    </row>
    <row r="813" spans="2:28" ht="14.25" customHeight="1">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c r="AA813" s="194"/>
      <c r="AB813" s="194"/>
    </row>
    <row r="814" spans="2:28" ht="14.25" customHeight="1">
      <c r="B814" s="194"/>
      <c r="C814" s="194"/>
      <c r="D814" s="194"/>
      <c r="E814" s="194"/>
      <c r="F814" s="194"/>
      <c r="G814" s="194"/>
      <c r="H814" s="194"/>
      <c r="I814" s="194"/>
      <c r="J814" s="194"/>
      <c r="K814" s="194"/>
      <c r="L814" s="194"/>
      <c r="M814" s="194"/>
      <c r="N814" s="194"/>
      <c r="O814" s="194"/>
      <c r="P814" s="194"/>
      <c r="Q814" s="194"/>
      <c r="R814" s="194"/>
      <c r="S814" s="194"/>
      <c r="T814" s="194"/>
      <c r="U814" s="194"/>
      <c r="V814" s="194"/>
      <c r="W814" s="194"/>
      <c r="X814" s="194"/>
      <c r="Y814" s="194"/>
      <c r="Z814" s="194"/>
      <c r="AA814" s="194"/>
      <c r="AB814" s="194"/>
    </row>
    <row r="815" spans="2:28" ht="14.25" customHeight="1">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c r="AA815" s="194"/>
      <c r="AB815" s="194"/>
    </row>
    <row r="816" spans="2:28" ht="14.25" customHeight="1">
      <c r="B816" s="194"/>
      <c r="C816" s="194"/>
      <c r="D816" s="194"/>
      <c r="E816" s="194"/>
      <c r="F816" s="194"/>
      <c r="G816" s="194"/>
      <c r="H816" s="194"/>
      <c r="I816" s="194"/>
      <c r="J816" s="194"/>
      <c r="K816" s="194"/>
      <c r="L816" s="194"/>
      <c r="M816" s="194"/>
      <c r="N816" s="194"/>
      <c r="O816" s="194"/>
      <c r="P816" s="194"/>
      <c r="Q816" s="194"/>
      <c r="R816" s="194"/>
      <c r="S816" s="194"/>
      <c r="T816" s="194"/>
      <c r="U816" s="194"/>
      <c r="V816" s="194"/>
      <c r="W816" s="194"/>
      <c r="X816" s="194"/>
      <c r="Y816" s="194"/>
      <c r="Z816" s="194"/>
      <c r="AA816" s="194"/>
      <c r="AB816" s="194"/>
    </row>
    <row r="817" spans="2:28" ht="14.25" customHeight="1">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c r="AA817" s="194"/>
      <c r="AB817" s="194"/>
    </row>
    <row r="818" spans="2:28" ht="14.25" customHeight="1">
      <c r="B818" s="194"/>
      <c r="C818" s="194"/>
      <c r="D818" s="194"/>
      <c r="E818" s="194"/>
      <c r="F818" s="194"/>
      <c r="G818" s="194"/>
      <c r="H818" s="194"/>
      <c r="I818" s="194"/>
      <c r="J818" s="194"/>
      <c r="K818" s="194"/>
      <c r="L818" s="194"/>
      <c r="M818" s="194"/>
      <c r="N818" s="194"/>
      <c r="O818" s="194"/>
      <c r="P818" s="194"/>
      <c r="Q818" s="194"/>
      <c r="R818" s="194"/>
      <c r="S818" s="194"/>
      <c r="T818" s="194"/>
      <c r="U818" s="194"/>
      <c r="V818" s="194"/>
      <c r="W818" s="194"/>
      <c r="X818" s="194"/>
      <c r="Y818" s="194"/>
      <c r="Z818" s="194"/>
      <c r="AA818" s="194"/>
      <c r="AB818" s="194"/>
    </row>
    <row r="819" spans="2:28" ht="14.25" customHeight="1">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c r="AA819" s="194"/>
      <c r="AB819" s="194"/>
    </row>
    <row r="820" spans="2:28" ht="14.25" customHeight="1">
      <c r="B820" s="194"/>
      <c r="C820" s="194"/>
      <c r="D820" s="194"/>
      <c r="E820" s="194"/>
      <c r="F820" s="194"/>
      <c r="G820" s="194"/>
      <c r="H820" s="194"/>
      <c r="I820" s="194"/>
      <c r="J820" s="194"/>
      <c r="K820" s="194"/>
      <c r="L820" s="194"/>
      <c r="M820" s="194"/>
      <c r="N820" s="194"/>
      <c r="O820" s="194"/>
      <c r="P820" s="194"/>
      <c r="Q820" s="194"/>
      <c r="R820" s="194"/>
      <c r="S820" s="194"/>
      <c r="T820" s="194"/>
      <c r="U820" s="194"/>
      <c r="V820" s="194"/>
      <c r="W820" s="194"/>
      <c r="X820" s="194"/>
      <c r="Y820" s="194"/>
      <c r="Z820" s="194"/>
      <c r="AA820" s="194"/>
      <c r="AB820" s="194"/>
    </row>
    <row r="821" spans="2:28" ht="14.25" customHeight="1">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c r="AA821" s="194"/>
      <c r="AB821" s="194"/>
    </row>
    <row r="822" spans="2:28" ht="14.25" customHeight="1">
      <c r="B822" s="194"/>
      <c r="C822" s="194"/>
      <c r="D822" s="194"/>
      <c r="E822" s="194"/>
      <c r="F822" s="194"/>
      <c r="G822" s="194"/>
      <c r="H822" s="194"/>
      <c r="I822" s="194"/>
      <c r="J822" s="194"/>
      <c r="K822" s="194"/>
      <c r="L822" s="194"/>
      <c r="M822" s="194"/>
      <c r="N822" s="194"/>
      <c r="O822" s="194"/>
      <c r="P822" s="194"/>
      <c r="Q822" s="194"/>
      <c r="R822" s="194"/>
      <c r="S822" s="194"/>
      <c r="T822" s="194"/>
      <c r="U822" s="194"/>
      <c r="V822" s="194"/>
      <c r="W822" s="194"/>
      <c r="X822" s="194"/>
      <c r="Y822" s="194"/>
      <c r="Z822" s="194"/>
      <c r="AA822" s="194"/>
      <c r="AB822" s="194"/>
    </row>
    <row r="823" spans="2:28" ht="14.25" customHeight="1">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c r="AA823" s="194"/>
      <c r="AB823" s="194"/>
    </row>
    <row r="824" spans="2:28" ht="14.25" customHeight="1">
      <c r="B824" s="194"/>
      <c r="C824" s="194"/>
      <c r="D824" s="194"/>
      <c r="E824" s="194"/>
      <c r="F824" s="194"/>
      <c r="G824" s="194"/>
      <c r="H824" s="194"/>
      <c r="I824" s="194"/>
      <c r="J824" s="194"/>
      <c r="K824" s="194"/>
      <c r="L824" s="194"/>
      <c r="M824" s="194"/>
      <c r="N824" s="194"/>
      <c r="O824" s="194"/>
      <c r="P824" s="194"/>
      <c r="Q824" s="194"/>
      <c r="R824" s="194"/>
      <c r="S824" s="194"/>
      <c r="T824" s="194"/>
      <c r="U824" s="194"/>
      <c r="V824" s="194"/>
      <c r="W824" s="194"/>
      <c r="X824" s="194"/>
      <c r="Y824" s="194"/>
      <c r="Z824" s="194"/>
      <c r="AA824" s="194"/>
      <c r="AB824" s="194"/>
    </row>
    <row r="825" spans="2:28" ht="14.25" customHeight="1">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c r="AA825" s="194"/>
      <c r="AB825" s="194"/>
    </row>
    <row r="826" spans="2:28" ht="14.25" customHeight="1">
      <c r="B826" s="194"/>
      <c r="C826" s="194"/>
      <c r="D826" s="194"/>
      <c r="E826" s="194"/>
      <c r="F826" s="194"/>
      <c r="G826" s="194"/>
      <c r="H826" s="194"/>
      <c r="I826" s="194"/>
      <c r="J826" s="194"/>
      <c r="K826" s="194"/>
      <c r="L826" s="194"/>
      <c r="M826" s="194"/>
      <c r="N826" s="194"/>
      <c r="O826" s="194"/>
      <c r="P826" s="194"/>
      <c r="Q826" s="194"/>
      <c r="R826" s="194"/>
      <c r="S826" s="194"/>
      <c r="T826" s="194"/>
      <c r="U826" s="194"/>
      <c r="V826" s="194"/>
      <c r="W826" s="194"/>
      <c r="X826" s="194"/>
      <c r="Y826" s="194"/>
      <c r="Z826" s="194"/>
      <c r="AA826" s="194"/>
      <c r="AB826" s="194"/>
    </row>
    <row r="827" spans="2:28" ht="14.25" customHeight="1">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c r="AA827" s="194"/>
      <c r="AB827" s="194"/>
    </row>
    <row r="828" spans="2:28" ht="14.25" customHeight="1">
      <c r="B828" s="194"/>
      <c r="C828" s="194"/>
      <c r="D828" s="194"/>
      <c r="E828" s="194"/>
      <c r="F828" s="194"/>
      <c r="G828" s="194"/>
      <c r="H828" s="194"/>
      <c r="I828" s="194"/>
      <c r="J828" s="194"/>
      <c r="K828" s="194"/>
      <c r="L828" s="194"/>
      <c r="M828" s="194"/>
      <c r="N828" s="194"/>
      <c r="O828" s="194"/>
      <c r="P828" s="194"/>
      <c r="Q828" s="194"/>
      <c r="R828" s="194"/>
      <c r="S828" s="194"/>
      <c r="T828" s="194"/>
      <c r="U828" s="194"/>
      <c r="V828" s="194"/>
      <c r="W828" s="194"/>
      <c r="X828" s="194"/>
      <c r="Y828" s="194"/>
      <c r="Z828" s="194"/>
      <c r="AA828" s="194"/>
      <c r="AB828" s="194"/>
    </row>
    <row r="829" spans="2:28" ht="14.25" customHeight="1">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c r="AA829" s="194"/>
      <c r="AB829" s="194"/>
    </row>
    <row r="830" spans="2:28" ht="14.25" customHeight="1">
      <c r="B830" s="194"/>
      <c r="C830" s="194"/>
      <c r="D830" s="194"/>
      <c r="E830" s="194"/>
      <c r="F830" s="194"/>
      <c r="G830" s="194"/>
      <c r="H830" s="194"/>
      <c r="I830" s="194"/>
      <c r="J830" s="194"/>
      <c r="K830" s="194"/>
      <c r="L830" s="194"/>
      <c r="M830" s="194"/>
      <c r="N830" s="194"/>
      <c r="O830" s="194"/>
      <c r="P830" s="194"/>
      <c r="Q830" s="194"/>
      <c r="R830" s="194"/>
      <c r="S830" s="194"/>
      <c r="T830" s="194"/>
      <c r="U830" s="194"/>
      <c r="V830" s="194"/>
      <c r="W830" s="194"/>
      <c r="X830" s="194"/>
      <c r="Y830" s="194"/>
      <c r="Z830" s="194"/>
      <c r="AA830" s="194"/>
      <c r="AB830" s="194"/>
    </row>
    <row r="831" spans="2:28" ht="14.25" customHeight="1">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c r="AA831" s="194"/>
      <c r="AB831" s="194"/>
    </row>
    <row r="832" spans="2:28" ht="14.25" customHeight="1">
      <c r="B832" s="194"/>
      <c r="C832" s="194"/>
      <c r="D832" s="194"/>
      <c r="E832" s="194"/>
      <c r="F832" s="194"/>
      <c r="G832" s="194"/>
      <c r="H832" s="194"/>
      <c r="I832" s="194"/>
      <c r="J832" s="194"/>
      <c r="K832" s="194"/>
      <c r="L832" s="194"/>
      <c r="M832" s="194"/>
      <c r="N832" s="194"/>
      <c r="O832" s="194"/>
      <c r="P832" s="194"/>
      <c r="Q832" s="194"/>
      <c r="R832" s="194"/>
      <c r="S832" s="194"/>
      <c r="T832" s="194"/>
      <c r="U832" s="194"/>
      <c r="V832" s="194"/>
      <c r="W832" s="194"/>
      <c r="X832" s="194"/>
      <c r="Y832" s="194"/>
      <c r="Z832" s="194"/>
      <c r="AA832" s="194"/>
      <c r="AB832" s="194"/>
    </row>
    <row r="833" spans="2:28" ht="14.25" customHeight="1">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c r="AA833" s="194"/>
      <c r="AB833" s="194"/>
    </row>
    <row r="834" spans="2:28" ht="14.25" customHeight="1">
      <c r="B834" s="194"/>
      <c r="C834" s="194"/>
      <c r="D834" s="194"/>
      <c r="E834" s="194"/>
      <c r="F834" s="194"/>
      <c r="G834" s="194"/>
      <c r="H834" s="194"/>
      <c r="I834" s="194"/>
      <c r="J834" s="194"/>
      <c r="K834" s="194"/>
      <c r="L834" s="194"/>
      <c r="M834" s="194"/>
      <c r="N834" s="194"/>
      <c r="O834" s="194"/>
      <c r="P834" s="194"/>
      <c r="Q834" s="194"/>
      <c r="R834" s="194"/>
      <c r="S834" s="194"/>
      <c r="T834" s="194"/>
      <c r="U834" s="194"/>
      <c r="V834" s="194"/>
      <c r="W834" s="194"/>
      <c r="X834" s="194"/>
      <c r="Y834" s="194"/>
      <c r="Z834" s="194"/>
      <c r="AA834" s="194"/>
      <c r="AB834" s="194"/>
    </row>
    <row r="835" spans="2:28" ht="14.25" customHeight="1">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c r="AA835" s="194"/>
      <c r="AB835" s="194"/>
    </row>
    <row r="836" spans="2:28" ht="14.25" customHeight="1">
      <c r="B836" s="194"/>
      <c r="C836" s="194"/>
      <c r="D836" s="194"/>
      <c r="E836" s="194"/>
      <c r="F836" s="194"/>
      <c r="G836" s="194"/>
      <c r="H836" s="194"/>
      <c r="I836" s="194"/>
      <c r="J836" s="194"/>
      <c r="K836" s="194"/>
      <c r="L836" s="194"/>
      <c r="M836" s="194"/>
      <c r="N836" s="194"/>
      <c r="O836" s="194"/>
      <c r="P836" s="194"/>
      <c r="Q836" s="194"/>
      <c r="R836" s="194"/>
      <c r="S836" s="194"/>
      <c r="T836" s="194"/>
      <c r="U836" s="194"/>
      <c r="V836" s="194"/>
      <c r="W836" s="194"/>
      <c r="X836" s="194"/>
      <c r="Y836" s="194"/>
      <c r="Z836" s="194"/>
      <c r="AA836" s="194"/>
      <c r="AB836" s="194"/>
    </row>
    <row r="837" spans="2:28" ht="14.25" customHeight="1">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c r="AA837" s="194"/>
      <c r="AB837" s="194"/>
    </row>
    <row r="838" spans="2:28" ht="14.25" customHeight="1">
      <c r="B838" s="194"/>
      <c r="C838" s="194"/>
      <c r="D838" s="194"/>
      <c r="E838" s="194"/>
      <c r="F838" s="194"/>
      <c r="G838" s="194"/>
      <c r="H838" s="194"/>
      <c r="I838" s="194"/>
      <c r="J838" s="194"/>
      <c r="K838" s="194"/>
      <c r="L838" s="194"/>
      <c r="M838" s="194"/>
      <c r="N838" s="194"/>
      <c r="O838" s="194"/>
      <c r="P838" s="194"/>
      <c r="Q838" s="194"/>
      <c r="R838" s="194"/>
      <c r="S838" s="194"/>
      <c r="T838" s="194"/>
      <c r="U838" s="194"/>
      <c r="V838" s="194"/>
      <c r="W838" s="194"/>
      <c r="X838" s="194"/>
      <c r="Y838" s="194"/>
      <c r="Z838" s="194"/>
      <c r="AA838" s="194"/>
      <c r="AB838" s="194"/>
    </row>
    <row r="839" spans="2:28" ht="14.25" customHeight="1">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c r="AA839" s="194"/>
      <c r="AB839" s="194"/>
    </row>
    <row r="840" spans="2:28" ht="14.25" customHeight="1">
      <c r="B840" s="194"/>
      <c r="C840" s="194"/>
      <c r="D840" s="194"/>
      <c r="E840" s="194"/>
      <c r="F840" s="194"/>
      <c r="G840" s="194"/>
      <c r="H840" s="194"/>
      <c r="I840" s="194"/>
      <c r="J840" s="194"/>
      <c r="K840" s="194"/>
      <c r="L840" s="194"/>
      <c r="M840" s="194"/>
      <c r="N840" s="194"/>
      <c r="O840" s="194"/>
      <c r="P840" s="194"/>
      <c r="Q840" s="194"/>
      <c r="R840" s="194"/>
      <c r="S840" s="194"/>
      <c r="T840" s="194"/>
      <c r="U840" s="194"/>
      <c r="V840" s="194"/>
      <c r="W840" s="194"/>
      <c r="X840" s="194"/>
      <c r="Y840" s="194"/>
      <c r="Z840" s="194"/>
      <c r="AA840" s="194"/>
      <c r="AB840" s="194"/>
    </row>
    <row r="841" spans="2:28" ht="14.25" customHeight="1">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c r="AA841" s="194"/>
      <c r="AB841" s="194"/>
    </row>
    <row r="842" spans="2:28" ht="14.25" customHeight="1">
      <c r="B842" s="194"/>
      <c r="C842" s="194"/>
      <c r="D842" s="194"/>
      <c r="E842" s="194"/>
      <c r="F842" s="194"/>
      <c r="G842" s="194"/>
      <c r="H842" s="194"/>
      <c r="I842" s="194"/>
      <c r="J842" s="194"/>
      <c r="K842" s="194"/>
      <c r="L842" s="194"/>
      <c r="M842" s="194"/>
      <c r="N842" s="194"/>
      <c r="O842" s="194"/>
      <c r="P842" s="194"/>
      <c r="Q842" s="194"/>
      <c r="R842" s="194"/>
      <c r="S842" s="194"/>
      <c r="T842" s="194"/>
      <c r="U842" s="194"/>
      <c r="V842" s="194"/>
      <c r="W842" s="194"/>
      <c r="X842" s="194"/>
      <c r="Y842" s="194"/>
      <c r="Z842" s="194"/>
      <c r="AA842" s="194"/>
      <c r="AB842" s="194"/>
    </row>
    <row r="843" spans="2:28" ht="14.25" customHeight="1">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c r="AA843" s="194"/>
      <c r="AB843" s="194"/>
    </row>
    <row r="844" spans="2:28" ht="14.25" customHeight="1">
      <c r="B844" s="194"/>
      <c r="C844" s="194"/>
      <c r="D844" s="194"/>
      <c r="E844" s="194"/>
      <c r="F844" s="194"/>
      <c r="G844" s="194"/>
      <c r="H844" s="194"/>
      <c r="I844" s="194"/>
      <c r="J844" s="194"/>
      <c r="K844" s="194"/>
      <c r="L844" s="194"/>
      <c r="M844" s="194"/>
      <c r="N844" s="194"/>
      <c r="O844" s="194"/>
      <c r="P844" s="194"/>
      <c r="Q844" s="194"/>
      <c r="R844" s="194"/>
      <c r="S844" s="194"/>
      <c r="T844" s="194"/>
      <c r="U844" s="194"/>
      <c r="V844" s="194"/>
      <c r="W844" s="194"/>
      <c r="X844" s="194"/>
      <c r="Y844" s="194"/>
      <c r="Z844" s="194"/>
      <c r="AA844" s="194"/>
      <c r="AB844" s="194"/>
    </row>
    <row r="845" spans="2:28" ht="14.25" customHeight="1">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c r="AA845" s="194"/>
      <c r="AB845" s="194"/>
    </row>
    <row r="846" spans="2:28" ht="14.25" customHeight="1">
      <c r="B846" s="194"/>
      <c r="C846" s="194"/>
      <c r="D846" s="194"/>
      <c r="E846" s="194"/>
      <c r="F846" s="194"/>
      <c r="G846" s="194"/>
      <c r="H846" s="194"/>
      <c r="I846" s="194"/>
      <c r="J846" s="194"/>
      <c r="K846" s="194"/>
      <c r="L846" s="194"/>
      <c r="M846" s="194"/>
      <c r="N846" s="194"/>
      <c r="O846" s="194"/>
      <c r="P846" s="194"/>
      <c r="Q846" s="194"/>
      <c r="R846" s="194"/>
      <c r="S846" s="194"/>
      <c r="T846" s="194"/>
      <c r="U846" s="194"/>
      <c r="V846" s="194"/>
      <c r="W846" s="194"/>
      <c r="X846" s="194"/>
      <c r="Y846" s="194"/>
      <c r="Z846" s="194"/>
      <c r="AA846" s="194"/>
      <c r="AB846" s="194"/>
    </row>
    <row r="847" spans="2:28" ht="14.25" customHeight="1">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c r="AA847" s="194"/>
      <c r="AB847" s="194"/>
    </row>
    <row r="848" spans="2:28" ht="14.25" customHeight="1">
      <c r="B848" s="194"/>
      <c r="C848" s="194"/>
      <c r="D848" s="194"/>
      <c r="E848" s="194"/>
      <c r="F848" s="194"/>
      <c r="G848" s="194"/>
      <c r="H848" s="194"/>
      <c r="I848" s="194"/>
      <c r="J848" s="194"/>
      <c r="K848" s="194"/>
      <c r="L848" s="194"/>
      <c r="M848" s="194"/>
      <c r="N848" s="194"/>
      <c r="O848" s="194"/>
      <c r="P848" s="194"/>
      <c r="Q848" s="194"/>
      <c r="R848" s="194"/>
      <c r="S848" s="194"/>
      <c r="T848" s="194"/>
      <c r="U848" s="194"/>
      <c r="V848" s="194"/>
      <c r="W848" s="194"/>
      <c r="X848" s="194"/>
      <c r="Y848" s="194"/>
      <c r="Z848" s="194"/>
      <c r="AA848" s="194"/>
      <c r="AB848" s="194"/>
    </row>
    <row r="849" spans="2:28" ht="14.25" customHeight="1">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c r="AA849" s="194"/>
      <c r="AB849" s="194"/>
    </row>
    <row r="850" spans="2:28" ht="14.25" customHeight="1">
      <c r="B850" s="194"/>
      <c r="C850" s="194"/>
      <c r="D850" s="194"/>
      <c r="E850" s="194"/>
      <c r="F850" s="194"/>
      <c r="G850" s="194"/>
      <c r="H850" s="194"/>
      <c r="I850" s="194"/>
      <c r="J850" s="194"/>
      <c r="K850" s="194"/>
      <c r="L850" s="194"/>
      <c r="M850" s="194"/>
      <c r="N850" s="194"/>
      <c r="O850" s="194"/>
      <c r="P850" s="194"/>
      <c r="Q850" s="194"/>
      <c r="R850" s="194"/>
      <c r="S850" s="194"/>
      <c r="T850" s="194"/>
      <c r="U850" s="194"/>
      <c r="V850" s="194"/>
      <c r="W850" s="194"/>
      <c r="X850" s="194"/>
      <c r="Y850" s="194"/>
      <c r="Z850" s="194"/>
      <c r="AA850" s="194"/>
      <c r="AB850" s="194"/>
    </row>
    <row r="851" spans="2:28" ht="14.25" customHeight="1">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c r="AA851" s="194"/>
      <c r="AB851" s="194"/>
    </row>
    <row r="852" spans="2:28" ht="14.25" customHeight="1">
      <c r="B852" s="194"/>
      <c r="C852" s="194"/>
      <c r="D852" s="194"/>
      <c r="E852" s="194"/>
      <c r="F852" s="194"/>
      <c r="G852" s="194"/>
      <c r="H852" s="194"/>
      <c r="I852" s="194"/>
      <c r="J852" s="194"/>
      <c r="K852" s="194"/>
      <c r="L852" s="194"/>
      <c r="M852" s="194"/>
      <c r="N852" s="194"/>
      <c r="O852" s="194"/>
      <c r="P852" s="194"/>
      <c r="Q852" s="194"/>
      <c r="R852" s="194"/>
      <c r="S852" s="194"/>
      <c r="T852" s="194"/>
      <c r="U852" s="194"/>
      <c r="V852" s="194"/>
      <c r="W852" s="194"/>
      <c r="X852" s="194"/>
      <c r="Y852" s="194"/>
      <c r="Z852" s="194"/>
      <c r="AA852" s="194"/>
      <c r="AB852" s="194"/>
    </row>
    <row r="853" spans="2:28" ht="14.25" customHeight="1">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c r="AA853" s="194"/>
      <c r="AB853" s="194"/>
    </row>
    <row r="854" spans="2:28" ht="14.25" customHeight="1">
      <c r="B854" s="194"/>
      <c r="C854" s="194"/>
      <c r="D854" s="194"/>
      <c r="E854" s="194"/>
      <c r="F854" s="194"/>
      <c r="G854" s="194"/>
      <c r="H854" s="194"/>
      <c r="I854" s="194"/>
      <c r="J854" s="194"/>
      <c r="K854" s="194"/>
      <c r="L854" s="194"/>
      <c r="M854" s="194"/>
      <c r="N854" s="194"/>
      <c r="O854" s="194"/>
      <c r="P854" s="194"/>
      <c r="Q854" s="194"/>
      <c r="R854" s="194"/>
      <c r="S854" s="194"/>
      <c r="T854" s="194"/>
      <c r="U854" s="194"/>
      <c r="V854" s="194"/>
      <c r="W854" s="194"/>
      <c r="X854" s="194"/>
      <c r="Y854" s="194"/>
      <c r="Z854" s="194"/>
      <c r="AA854" s="194"/>
      <c r="AB854" s="194"/>
    </row>
    <row r="855" spans="2:28" ht="14.25" customHeight="1">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c r="AA855" s="194"/>
      <c r="AB855" s="194"/>
    </row>
    <row r="856" spans="2:28" ht="14.25" customHeight="1">
      <c r="B856" s="194"/>
      <c r="C856" s="194"/>
      <c r="D856" s="194"/>
      <c r="E856" s="194"/>
      <c r="F856" s="194"/>
      <c r="G856" s="194"/>
      <c r="H856" s="194"/>
      <c r="I856" s="194"/>
      <c r="J856" s="194"/>
      <c r="K856" s="194"/>
      <c r="L856" s="194"/>
      <c r="M856" s="194"/>
      <c r="N856" s="194"/>
      <c r="O856" s="194"/>
      <c r="P856" s="194"/>
      <c r="Q856" s="194"/>
      <c r="R856" s="194"/>
      <c r="S856" s="194"/>
      <c r="T856" s="194"/>
      <c r="U856" s="194"/>
      <c r="V856" s="194"/>
      <c r="W856" s="194"/>
      <c r="X856" s="194"/>
      <c r="Y856" s="194"/>
      <c r="Z856" s="194"/>
      <c r="AA856" s="194"/>
      <c r="AB856" s="194"/>
    </row>
    <row r="857" spans="2:28" ht="14.25" customHeight="1">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c r="AA857" s="194"/>
      <c r="AB857" s="194"/>
    </row>
    <row r="858" spans="2:28" ht="14.25" customHeight="1">
      <c r="B858" s="194"/>
      <c r="C858" s="194"/>
      <c r="D858" s="194"/>
      <c r="E858" s="194"/>
      <c r="F858" s="194"/>
      <c r="G858" s="194"/>
      <c r="H858" s="194"/>
      <c r="I858" s="194"/>
      <c r="J858" s="194"/>
      <c r="K858" s="194"/>
      <c r="L858" s="194"/>
      <c r="M858" s="194"/>
      <c r="N858" s="194"/>
      <c r="O858" s="194"/>
      <c r="P858" s="194"/>
      <c r="Q858" s="194"/>
      <c r="R858" s="194"/>
      <c r="S858" s="194"/>
      <c r="T858" s="194"/>
      <c r="U858" s="194"/>
      <c r="V858" s="194"/>
      <c r="W858" s="194"/>
      <c r="X858" s="194"/>
      <c r="Y858" s="194"/>
      <c r="Z858" s="194"/>
      <c r="AA858" s="194"/>
      <c r="AB858" s="194"/>
    </row>
    <row r="859" spans="2:28" ht="14.25" customHeight="1">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c r="AA859" s="194"/>
      <c r="AB859" s="194"/>
    </row>
    <row r="860" spans="2:28" ht="14.25" customHeight="1">
      <c r="B860" s="194"/>
      <c r="C860" s="194"/>
      <c r="D860" s="194"/>
      <c r="E860" s="194"/>
      <c r="F860" s="194"/>
      <c r="G860" s="194"/>
      <c r="H860" s="194"/>
      <c r="I860" s="194"/>
      <c r="J860" s="194"/>
      <c r="K860" s="194"/>
      <c r="L860" s="194"/>
      <c r="M860" s="194"/>
      <c r="N860" s="194"/>
      <c r="O860" s="194"/>
      <c r="P860" s="194"/>
      <c r="Q860" s="194"/>
      <c r="R860" s="194"/>
      <c r="S860" s="194"/>
      <c r="T860" s="194"/>
      <c r="U860" s="194"/>
      <c r="V860" s="194"/>
      <c r="W860" s="194"/>
      <c r="X860" s="194"/>
      <c r="Y860" s="194"/>
      <c r="Z860" s="194"/>
      <c r="AA860" s="194"/>
      <c r="AB860" s="194"/>
    </row>
    <row r="861" spans="2:28" ht="14.25" customHeight="1">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c r="AA861" s="194"/>
      <c r="AB861" s="194"/>
    </row>
    <row r="862" spans="2:28" ht="14.25" customHeight="1">
      <c r="B862" s="194"/>
      <c r="C862" s="194"/>
      <c r="D862" s="194"/>
      <c r="E862" s="194"/>
      <c r="F862" s="194"/>
      <c r="G862" s="194"/>
      <c r="H862" s="194"/>
      <c r="I862" s="194"/>
      <c r="J862" s="194"/>
      <c r="K862" s="194"/>
      <c r="L862" s="194"/>
      <c r="M862" s="194"/>
      <c r="N862" s="194"/>
      <c r="O862" s="194"/>
      <c r="P862" s="194"/>
      <c r="Q862" s="194"/>
      <c r="R862" s="194"/>
      <c r="S862" s="194"/>
      <c r="T862" s="194"/>
      <c r="U862" s="194"/>
      <c r="V862" s="194"/>
      <c r="W862" s="194"/>
      <c r="X862" s="194"/>
      <c r="Y862" s="194"/>
      <c r="Z862" s="194"/>
      <c r="AA862" s="194"/>
      <c r="AB862" s="194"/>
    </row>
    <row r="863" spans="2:28" ht="14.25" customHeight="1">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c r="AA863" s="194"/>
      <c r="AB863" s="194"/>
    </row>
    <row r="864" spans="2:28" ht="14.25" customHeight="1">
      <c r="B864" s="194"/>
      <c r="C864" s="194"/>
      <c r="D864" s="194"/>
      <c r="E864" s="194"/>
      <c r="F864" s="194"/>
      <c r="G864" s="194"/>
      <c r="H864" s="194"/>
      <c r="I864" s="194"/>
      <c r="J864" s="194"/>
      <c r="K864" s="194"/>
      <c r="L864" s="194"/>
      <c r="M864" s="194"/>
      <c r="N864" s="194"/>
      <c r="O864" s="194"/>
      <c r="P864" s="194"/>
      <c r="Q864" s="194"/>
      <c r="R864" s="194"/>
      <c r="S864" s="194"/>
      <c r="T864" s="194"/>
      <c r="U864" s="194"/>
      <c r="V864" s="194"/>
      <c r="W864" s="194"/>
      <c r="X864" s="194"/>
      <c r="Y864" s="194"/>
      <c r="Z864" s="194"/>
      <c r="AA864" s="194"/>
      <c r="AB864" s="194"/>
    </row>
    <row r="865" spans="2:28" ht="14.25" customHeight="1">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c r="AA865" s="194"/>
      <c r="AB865" s="194"/>
    </row>
    <row r="866" spans="2:28" ht="14.25" customHeight="1">
      <c r="B866" s="194"/>
      <c r="C866" s="194"/>
      <c r="D866" s="194"/>
      <c r="E866" s="194"/>
      <c r="F866" s="194"/>
      <c r="G866" s="194"/>
      <c r="H866" s="194"/>
      <c r="I866" s="194"/>
      <c r="J866" s="194"/>
      <c r="K866" s="194"/>
      <c r="L866" s="194"/>
      <c r="M866" s="194"/>
      <c r="N866" s="194"/>
      <c r="O866" s="194"/>
      <c r="P866" s="194"/>
      <c r="Q866" s="194"/>
      <c r="R866" s="194"/>
      <c r="S866" s="194"/>
      <c r="T866" s="194"/>
      <c r="U866" s="194"/>
      <c r="V866" s="194"/>
      <c r="W866" s="194"/>
      <c r="X866" s="194"/>
      <c r="Y866" s="194"/>
      <c r="Z866" s="194"/>
      <c r="AA866" s="194"/>
      <c r="AB866" s="194"/>
    </row>
    <row r="867" spans="2:28" ht="14.25" customHeight="1">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c r="AA867" s="194"/>
      <c r="AB867" s="194"/>
    </row>
    <row r="868" spans="2:28" ht="14.25" customHeight="1">
      <c r="B868" s="194"/>
      <c r="C868" s="194"/>
      <c r="D868" s="194"/>
      <c r="E868" s="194"/>
      <c r="F868" s="194"/>
      <c r="G868" s="194"/>
      <c r="H868" s="194"/>
      <c r="I868" s="194"/>
      <c r="J868" s="194"/>
      <c r="K868" s="194"/>
      <c r="L868" s="194"/>
      <c r="M868" s="194"/>
      <c r="N868" s="194"/>
      <c r="O868" s="194"/>
      <c r="P868" s="194"/>
      <c r="Q868" s="194"/>
      <c r="R868" s="194"/>
      <c r="S868" s="194"/>
      <c r="T868" s="194"/>
      <c r="U868" s="194"/>
      <c r="V868" s="194"/>
      <c r="W868" s="194"/>
      <c r="X868" s="194"/>
      <c r="Y868" s="194"/>
      <c r="Z868" s="194"/>
      <c r="AA868" s="194"/>
      <c r="AB868" s="194"/>
    </row>
    <row r="869" spans="2:28" ht="14.25" customHeight="1">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c r="AA869" s="194"/>
      <c r="AB869" s="194"/>
    </row>
    <row r="870" spans="2:28" ht="14.25" customHeight="1">
      <c r="B870" s="194"/>
      <c r="C870" s="194"/>
      <c r="D870" s="194"/>
      <c r="E870" s="194"/>
      <c r="F870" s="194"/>
      <c r="G870" s="194"/>
      <c r="H870" s="194"/>
      <c r="I870" s="194"/>
      <c r="J870" s="194"/>
      <c r="K870" s="194"/>
      <c r="L870" s="194"/>
      <c r="M870" s="194"/>
      <c r="N870" s="194"/>
      <c r="O870" s="194"/>
      <c r="P870" s="194"/>
      <c r="Q870" s="194"/>
      <c r="R870" s="194"/>
      <c r="S870" s="194"/>
      <c r="T870" s="194"/>
      <c r="U870" s="194"/>
      <c r="V870" s="194"/>
      <c r="W870" s="194"/>
      <c r="X870" s="194"/>
      <c r="Y870" s="194"/>
      <c r="Z870" s="194"/>
      <c r="AA870" s="194"/>
      <c r="AB870" s="194"/>
    </row>
    <row r="871" spans="2:28" ht="14.25" customHeight="1">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c r="AA871" s="194"/>
      <c r="AB871" s="194"/>
    </row>
    <row r="872" spans="2:28" ht="14.25" customHeight="1">
      <c r="B872" s="194"/>
      <c r="C872" s="194"/>
      <c r="D872" s="194"/>
      <c r="E872" s="194"/>
      <c r="F872" s="194"/>
      <c r="G872" s="194"/>
      <c r="H872" s="194"/>
      <c r="I872" s="194"/>
      <c r="J872" s="194"/>
      <c r="K872" s="194"/>
      <c r="L872" s="194"/>
      <c r="M872" s="194"/>
      <c r="N872" s="194"/>
      <c r="O872" s="194"/>
      <c r="P872" s="194"/>
      <c r="Q872" s="194"/>
      <c r="R872" s="194"/>
      <c r="S872" s="194"/>
      <c r="T872" s="194"/>
      <c r="U872" s="194"/>
      <c r="V872" s="194"/>
      <c r="W872" s="194"/>
      <c r="X872" s="194"/>
      <c r="Y872" s="194"/>
      <c r="Z872" s="194"/>
      <c r="AA872" s="194"/>
      <c r="AB872" s="194"/>
    </row>
    <row r="873" spans="2:28" ht="14.25" customHeight="1">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c r="AA873" s="194"/>
      <c r="AB873" s="194"/>
    </row>
    <row r="874" spans="2:28" ht="14.25" customHeight="1">
      <c r="B874" s="194"/>
      <c r="C874" s="194"/>
      <c r="D874" s="194"/>
      <c r="E874" s="194"/>
      <c r="F874" s="194"/>
      <c r="G874" s="194"/>
      <c r="H874" s="194"/>
      <c r="I874" s="194"/>
      <c r="J874" s="194"/>
      <c r="K874" s="194"/>
      <c r="L874" s="194"/>
      <c r="M874" s="194"/>
      <c r="N874" s="194"/>
      <c r="O874" s="194"/>
      <c r="P874" s="194"/>
      <c r="Q874" s="194"/>
      <c r="R874" s="194"/>
      <c r="S874" s="194"/>
      <c r="T874" s="194"/>
      <c r="U874" s="194"/>
      <c r="V874" s="194"/>
      <c r="W874" s="194"/>
      <c r="X874" s="194"/>
      <c r="Y874" s="194"/>
      <c r="Z874" s="194"/>
      <c r="AA874" s="194"/>
      <c r="AB874" s="194"/>
    </row>
    <row r="875" spans="2:28" ht="14.25" customHeight="1">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c r="AA875" s="194"/>
      <c r="AB875" s="194"/>
    </row>
    <row r="876" spans="2:28" ht="14.25" customHeight="1">
      <c r="B876" s="194"/>
      <c r="C876" s="194"/>
      <c r="D876" s="194"/>
      <c r="E876" s="194"/>
      <c r="F876" s="194"/>
      <c r="G876" s="194"/>
      <c r="H876" s="194"/>
      <c r="I876" s="194"/>
      <c r="J876" s="194"/>
      <c r="K876" s="194"/>
      <c r="L876" s="194"/>
      <c r="M876" s="194"/>
      <c r="N876" s="194"/>
      <c r="O876" s="194"/>
      <c r="P876" s="194"/>
      <c r="Q876" s="194"/>
      <c r="R876" s="194"/>
      <c r="S876" s="194"/>
      <c r="T876" s="194"/>
      <c r="U876" s="194"/>
      <c r="V876" s="194"/>
      <c r="W876" s="194"/>
      <c r="X876" s="194"/>
      <c r="Y876" s="194"/>
      <c r="Z876" s="194"/>
      <c r="AA876" s="194"/>
      <c r="AB876" s="194"/>
    </row>
    <row r="877" spans="2:28" ht="14.25" customHeight="1">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c r="AA877" s="194"/>
      <c r="AB877" s="194"/>
    </row>
    <row r="878" spans="2:28" ht="14.25" customHeight="1">
      <c r="B878" s="194"/>
      <c r="C878" s="194"/>
      <c r="D878" s="194"/>
      <c r="E878" s="194"/>
      <c r="F878" s="194"/>
      <c r="G878" s="194"/>
      <c r="H878" s="194"/>
      <c r="I878" s="194"/>
      <c r="J878" s="194"/>
      <c r="K878" s="194"/>
      <c r="L878" s="194"/>
      <c r="M878" s="194"/>
      <c r="N878" s="194"/>
      <c r="O878" s="194"/>
      <c r="P878" s="194"/>
      <c r="Q878" s="194"/>
      <c r="R878" s="194"/>
      <c r="S878" s="194"/>
      <c r="T878" s="194"/>
      <c r="U878" s="194"/>
      <c r="V878" s="194"/>
      <c r="W878" s="194"/>
      <c r="X878" s="194"/>
      <c r="Y878" s="194"/>
      <c r="Z878" s="194"/>
      <c r="AA878" s="194"/>
      <c r="AB878" s="194"/>
    </row>
    <row r="879" spans="2:28" ht="14.25" customHeight="1">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c r="AA879" s="194"/>
      <c r="AB879" s="194"/>
    </row>
    <row r="880" spans="2:28" ht="14.25" customHeight="1">
      <c r="B880" s="194"/>
      <c r="C880" s="194"/>
      <c r="D880" s="194"/>
      <c r="E880" s="194"/>
      <c r="F880" s="194"/>
      <c r="G880" s="194"/>
      <c r="H880" s="194"/>
      <c r="I880" s="194"/>
      <c r="J880" s="194"/>
      <c r="K880" s="194"/>
      <c r="L880" s="194"/>
      <c r="M880" s="194"/>
      <c r="N880" s="194"/>
      <c r="O880" s="194"/>
      <c r="P880" s="194"/>
      <c r="Q880" s="194"/>
      <c r="R880" s="194"/>
      <c r="S880" s="194"/>
      <c r="T880" s="194"/>
      <c r="U880" s="194"/>
      <c r="V880" s="194"/>
      <c r="W880" s="194"/>
      <c r="X880" s="194"/>
      <c r="Y880" s="194"/>
      <c r="Z880" s="194"/>
      <c r="AA880" s="194"/>
      <c r="AB880" s="194"/>
    </row>
    <row r="881" spans="2:28" ht="14.25" customHeight="1">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c r="AA881" s="194"/>
      <c r="AB881" s="194"/>
    </row>
    <row r="882" spans="2:28" ht="14.25" customHeight="1">
      <c r="B882" s="194"/>
      <c r="C882" s="194"/>
      <c r="D882" s="194"/>
      <c r="E882" s="194"/>
      <c r="F882" s="194"/>
      <c r="G882" s="194"/>
      <c r="H882" s="194"/>
      <c r="I882" s="194"/>
      <c r="J882" s="194"/>
      <c r="K882" s="194"/>
      <c r="L882" s="194"/>
      <c r="M882" s="194"/>
      <c r="N882" s="194"/>
      <c r="O882" s="194"/>
      <c r="P882" s="194"/>
      <c r="Q882" s="194"/>
      <c r="R882" s="194"/>
      <c r="S882" s="194"/>
      <c r="T882" s="194"/>
      <c r="U882" s="194"/>
      <c r="V882" s="194"/>
      <c r="W882" s="194"/>
      <c r="X882" s="194"/>
      <c r="Y882" s="194"/>
      <c r="Z882" s="194"/>
      <c r="AA882" s="194"/>
      <c r="AB882" s="194"/>
    </row>
    <row r="883" spans="2:28" ht="14.25" customHeight="1">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c r="AA883" s="194"/>
      <c r="AB883" s="194"/>
    </row>
    <row r="884" spans="2:28" ht="14.25" customHeight="1">
      <c r="B884" s="194"/>
      <c r="C884" s="194"/>
      <c r="D884" s="194"/>
      <c r="E884" s="194"/>
      <c r="F884" s="194"/>
      <c r="G884" s="194"/>
      <c r="H884" s="194"/>
      <c r="I884" s="194"/>
      <c r="J884" s="194"/>
      <c r="K884" s="194"/>
      <c r="L884" s="194"/>
      <c r="M884" s="194"/>
      <c r="N884" s="194"/>
      <c r="O884" s="194"/>
      <c r="P884" s="194"/>
      <c r="Q884" s="194"/>
      <c r="R884" s="194"/>
      <c r="S884" s="194"/>
      <c r="T884" s="194"/>
      <c r="U884" s="194"/>
      <c r="V884" s="194"/>
      <c r="W884" s="194"/>
      <c r="X884" s="194"/>
      <c r="Y884" s="194"/>
      <c r="Z884" s="194"/>
      <c r="AA884" s="194"/>
      <c r="AB884" s="194"/>
    </row>
    <row r="885" spans="2:28" ht="14.25" customHeight="1">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c r="AA885" s="194"/>
      <c r="AB885" s="194"/>
    </row>
    <row r="886" spans="2:28" ht="14.25" customHeight="1">
      <c r="B886" s="194"/>
      <c r="C886" s="194"/>
      <c r="D886" s="194"/>
      <c r="E886" s="194"/>
      <c r="F886" s="194"/>
      <c r="G886" s="194"/>
      <c r="H886" s="194"/>
      <c r="I886" s="194"/>
      <c r="J886" s="194"/>
      <c r="K886" s="194"/>
      <c r="L886" s="194"/>
      <c r="M886" s="194"/>
      <c r="N886" s="194"/>
      <c r="O886" s="194"/>
      <c r="P886" s="194"/>
      <c r="Q886" s="194"/>
      <c r="R886" s="194"/>
      <c r="S886" s="194"/>
      <c r="T886" s="194"/>
      <c r="U886" s="194"/>
      <c r="V886" s="194"/>
      <c r="W886" s="194"/>
      <c r="X886" s="194"/>
      <c r="Y886" s="194"/>
      <c r="Z886" s="194"/>
      <c r="AA886" s="194"/>
      <c r="AB886" s="194"/>
    </row>
    <row r="887" spans="2:28" ht="14.25" customHeight="1">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c r="AA887" s="194"/>
      <c r="AB887" s="194"/>
    </row>
    <row r="888" spans="2:28" ht="14.25" customHeight="1">
      <c r="B888" s="194"/>
      <c r="C888" s="194"/>
      <c r="D888" s="194"/>
      <c r="E888" s="194"/>
      <c r="F888" s="194"/>
      <c r="G888" s="194"/>
      <c r="H888" s="194"/>
      <c r="I888" s="194"/>
      <c r="J888" s="194"/>
      <c r="K888" s="194"/>
      <c r="L888" s="194"/>
      <c r="M888" s="194"/>
      <c r="N888" s="194"/>
      <c r="O888" s="194"/>
      <c r="P888" s="194"/>
      <c r="Q888" s="194"/>
      <c r="R888" s="194"/>
      <c r="S888" s="194"/>
      <c r="T888" s="194"/>
      <c r="U888" s="194"/>
      <c r="V888" s="194"/>
      <c r="W888" s="194"/>
      <c r="X888" s="194"/>
      <c r="Y888" s="194"/>
      <c r="Z888" s="194"/>
      <c r="AA888" s="194"/>
      <c r="AB888" s="194"/>
    </row>
    <row r="889" spans="2:28" ht="14.25" customHeight="1">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c r="AA889" s="194"/>
      <c r="AB889" s="194"/>
    </row>
    <row r="890" spans="2:28" ht="14.25" customHeight="1">
      <c r="B890" s="194"/>
      <c r="C890" s="194"/>
      <c r="D890" s="194"/>
      <c r="E890" s="194"/>
      <c r="F890" s="194"/>
      <c r="G890" s="194"/>
      <c r="H890" s="194"/>
      <c r="I890" s="194"/>
      <c r="J890" s="194"/>
      <c r="K890" s="194"/>
      <c r="L890" s="194"/>
      <c r="M890" s="194"/>
      <c r="N890" s="194"/>
      <c r="O890" s="194"/>
      <c r="P890" s="194"/>
      <c r="Q890" s="194"/>
      <c r="R890" s="194"/>
      <c r="S890" s="194"/>
      <c r="T890" s="194"/>
      <c r="U890" s="194"/>
      <c r="V890" s="194"/>
      <c r="W890" s="194"/>
      <c r="X890" s="194"/>
      <c r="Y890" s="194"/>
      <c r="Z890" s="194"/>
      <c r="AA890" s="194"/>
      <c r="AB890" s="194"/>
    </row>
    <row r="891" spans="2:28" ht="14.25" customHeight="1">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c r="AA891" s="194"/>
      <c r="AB891" s="194"/>
    </row>
    <row r="892" spans="2:28" ht="14.25" customHeight="1">
      <c r="B892" s="194"/>
      <c r="C892" s="194"/>
      <c r="D892" s="194"/>
      <c r="E892" s="194"/>
      <c r="F892" s="194"/>
      <c r="G892" s="194"/>
      <c r="H892" s="194"/>
      <c r="I892" s="194"/>
      <c r="J892" s="194"/>
      <c r="K892" s="194"/>
      <c r="L892" s="194"/>
      <c r="M892" s="194"/>
      <c r="N892" s="194"/>
      <c r="O892" s="194"/>
      <c r="P892" s="194"/>
      <c r="Q892" s="194"/>
      <c r="R892" s="194"/>
      <c r="S892" s="194"/>
      <c r="T892" s="194"/>
      <c r="U892" s="194"/>
      <c r="V892" s="194"/>
      <c r="W892" s="194"/>
      <c r="X892" s="194"/>
      <c r="Y892" s="194"/>
      <c r="Z892" s="194"/>
      <c r="AA892" s="194"/>
      <c r="AB892" s="194"/>
    </row>
    <row r="893" spans="2:28" ht="14.25" customHeight="1">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c r="AA893" s="194"/>
      <c r="AB893" s="194"/>
    </row>
    <row r="894" spans="2:28" ht="14.25" customHeight="1">
      <c r="B894" s="194"/>
      <c r="C894" s="194"/>
      <c r="D894" s="194"/>
      <c r="E894" s="194"/>
      <c r="F894" s="194"/>
      <c r="G894" s="194"/>
      <c r="H894" s="194"/>
      <c r="I894" s="194"/>
      <c r="J894" s="194"/>
      <c r="K894" s="194"/>
      <c r="L894" s="194"/>
      <c r="M894" s="194"/>
      <c r="N894" s="194"/>
      <c r="O894" s="194"/>
      <c r="P894" s="194"/>
      <c r="Q894" s="194"/>
      <c r="R894" s="194"/>
      <c r="S894" s="194"/>
      <c r="T894" s="194"/>
      <c r="U894" s="194"/>
      <c r="V894" s="194"/>
      <c r="W894" s="194"/>
      <c r="X894" s="194"/>
      <c r="Y894" s="194"/>
      <c r="Z894" s="194"/>
      <c r="AA894" s="194"/>
      <c r="AB894" s="194"/>
    </row>
    <row r="895" spans="2:28" ht="14.25" customHeight="1">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c r="AA895" s="194"/>
      <c r="AB895" s="194"/>
    </row>
    <row r="896" spans="2:28" ht="14.25" customHeight="1">
      <c r="B896" s="194"/>
      <c r="C896" s="194"/>
      <c r="D896" s="194"/>
      <c r="E896" s="194"/>
      <c r="F896" s="194"/>
      <c r="G896" s="194"/>
      <c r="H896" s="194"/>
      <c r="I896" s="194"/>
      <c r="J896" s="194"/>
      <c r="K896" s="194"/>
      <c r="L896" s="194"/>
      <c r="M896" s="194"/>
      <c r="N896" s="194"/>
      <c r="O896" s="194"/>
      <c r="P896" s="194"/>
      <c r="Q896" s="194"/>
      <c r="R896" s="194"/>
      <c r="S896" s="194"/>
      <c r="T896" s="194"/>
      <c r="U896" s="194"/>
      <c r="V896" s="194"/>
      <c r="W896" s="194"/>
      <c r="X896" s="194"/>
      <c r="Y896" s="194"/>
      <c r="Z896" s="194"/>
      <c r="AA896" s="194"/>
      <c r="AB896" s="194"/>
    </row>
    <row r="897" spans="2:28" ht="14.25" customHeight="1">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c r="AA897" s="194"/>
      <c r="AB897" s="194"/>
    </row>
  </sheetData>
  <mergeCells count="3">
    <mergeCell ref="B5:Q5"/>
    <mergeCell ref="C7:F7"/>
    <mergeCell ref="G7:L7"/>
  </mergeCells>
  <dataValidations count="1">
    <dataValidation allowBlank="1" showInputMessage="1" showErrorMessage="1" prompt="Title of this worksheet is in cells B1 through D1" sqref="B2" xr:uid="{5A52319C-4E03-4A88-9CD6-603372D0F623}"/>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2FDCB34-6189-47D4-B41E-BA57F60C3239}">
          <x14:formula1>
            <xm:f>'Ref tables'!$C$18:$C$36</xm:f>
          </x14:formula1>
          <xm:sqref>R27:R49 C27:C49 H27:H49 M27:M49 W27:W49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6421-B20B-4418-8DB2-635254885C3B}">
  <sheetPr>
    <tabColor rgb="FFFF0000"/>
  </sheetPr>
  <dimension ref="C2:V50"/>
  <sheetViews>
    <sheetView topLeftCell="A21" workbookViewId="0">
      <selection activeCell="D30" sqref="D30"/>
    </sheetView>
  </sheetViews>
  <sheetFormatPr defaultRowHeight="14.5"/>
  <cols>
    <col min="1" max="2" width="8.7265625" style="23" customWidth="1"/>
    <col min="3" max="3" width="14.7265625" style="251" customWidth="1"/>
    <col min="4" max="4" width="18.26953125" style="311" customWidth="1"/>
    <col min="5" max="5" width="9.36328125" style="311" bestFit="1" customWidth="1"/>
    <col min="6" max="6" width="31.08984375" style="23" customWidth="1"/>
    <col min="7" max="7" width="26.81640625" style="23" customWidth="1"/>
    <col min="8" max="8" width="9.6328125" style="307" bestFit="1" customWidth="1"/>
    <col min="9" max="9" width="10" style="307" customWidth="1"/>
    <col min="10" max="12" width="8.7265625" style="23" customWidth="1"/>
    <col min="13" max="14" width="8.7265625" style="255" customWidth="1"/>
    <col min="15" max="15" width="8.7265625" style="23" customWidth="1"/>
    <col min="16" max="16" width="11.81640625" style="23" bestFit="1" customWidth="1"/>
    <col min="17" max="19" width="8.7265625" style="23" customWidth="1"/>
    <col min="20" max="20" width="29.81640625" style="23" customWidth="1"/>
    <col min="21" max="21" width="8.7265625" style="23" customWidth="1"/>
    <col min="22" max="16384" width="8.7265625" style="23"/>
  </cols>
  <sheetData>
    <row r="2" spans="3:22">
      <c r="Q2" s="200"/>
      <c r="T2" s="200"/>
    </row>
    <row r="3" spans="3:22">
      <c r="C3" s="258" t="s">
        <v>111</v>
      </c>
      <c r="D3" s="312" t="s">
        <v>112</v>
      </c>
      <c r="E3" s="312" t="s">
        <v>57</v>
      </c>
      <c r="G3" s="257" t="s">
        <v>113</v>
      </c>
      <c r="H3" s="308" t="s">
        <v>112</v>
      </c>
      <c r="I3" s="308" t="s">
        <v>57</v>
      </c>
      <c r="L3" s="261" t="s">
        <v>114</v>
      </c>
      <c r="M3" s="262" t="s">
        <v>112</v>
      </c>
      <c r="N3" s="262" t="s">
        <v>57</v>
      </c>
      <c r="P3" s="272" t="s">
        <v>115</v>
      </c>
      <c r="Q3" s="272" t="s">
        <v>112</v>
      </c>
      <c r="R3" s="272" t="s">
        <v>57</v>
      </c>
      <c r="T3" s="279" t="s">
        <v>116</v>
      </c>
      <c r="U3" s="279" t="s">
        <v>112</v>
      </c>
      <c r="V3" s="279" t="s">
        <v>57</v>
      </c>
    </row>
    <row r="4" spans="3:22">
      <c r="C4" s="252" t="s">
        <v>117</v>
      </c>
      <c r="D4" s="313">
        <v>36.799999999999997</v>
      </c>
      <c r="E4" s="313">
        <v>2.7</v>
      </c>
      <c r="G4" s="259" t="s">
        <v>118</v>
      </c>
      <c r="H4" s="306">
        <v>31.402000000000001</v>
      </c>
      <c r="I4" s="309">
        <v>1.83</v>
      </c>
      <c r="L4" s="252" t="s">
        <v>119</v>
      </c>
      <c r="M4" s="256">
        <v>16.100000000000001</v>
      </c>
      <c r="N4" s="263">
        <v>0</v>
      </c>
      <c r="P4" s="270" t="s">
        <v>120</v>
      </c>
      <c r="Q4" s="201">
        <v>36.799999999999997</v>
      </c>
      <c r="R4" s="269">
        <v>73.3</v>
      </c>
      <c r="T4" s="275" t="s">
        <v>121</v>
      </c>
      <c r="U4" s="273">
        <v>46</v>
      </c>
      <c r="V4" s="276">
        <v>2.88</v>
      </c>
    </row>
    <row r="5" spans="3:22">
      <c r="C5" s="252" t="s">
        <v>58</v>
      </c>
      <c r="D5" s="314">
        <v>39.4</v>
      </c>
      <c r="E5" s="313">
        <v>3.0459999999999998</v>
      </c>
      <c r="G5" s="259" t="s">
        <v>122</v>
      </c>
      <c r="H5" s="306">
        <v>29.309000000000001</v>
      </c>
      <c r="I5" s="309">
        <v>1.83</v>
      </c>
      <c r="L5" s="252" t="s">
        <v>63</v>
      </c>
      <c r="M5" s="256">
        <v>16.2</v>
      </c>
      <c r="N5" s="263">
        <v>0</v>
      </c>
      <c r="P5" s="270" t="s">
        <v>67</v>
      </c>
      <c r="Q5" s="201">
        <v>36.799999999999997</v>
      </c>
      <c r="R5" s="269">
        <v>74.099999999999994</v>
      </c>
      <c r="T5" s="275" t="s">
        <v>71</v>
      </c>
      <c r="U5" s="273">
        <v>37</v>
      </c>
      <c r="V5" s="276">
        <v>2.1110000000000002</v>
      </c>
    </row>
    <row r="6" spans="3:22">
      <c r="G6" s="259" t="s">
        <v>61</v>
      </c>
      <c r="H6" s="306">
        <v>25.122</v>
      </c>
      <c r="I6" s="309">
        <v>1.83</v>
      </c>
      <c r="P6" s="270" t="s">
        <v>123</v>
      </c>
      <c r="Q6" s="201">
        <v>36.799999999999997</v>
      </c>
      <c r="R6" s="271">
        <v>2.9</v>
      </c>
      <c r="T6" s="277" t="s">
        <v>124</v>
      </c>
      <c r="U6" s="274">
        <v>46</v>
      </c>
      <c r="V6" s="278">
        <v>2.88</v>
      </c>
    </row>
    <row r="7" spans="3:22">
      <c r="G7" s="259" t="s">
        <v>125</v>
      </c>
      <c r="H7" s="306">
        <v>20.934999999999999</v>
      </c>
      <c r="I7" s="309">
        <v>1.83</v>
      </c>
    </row>
    <row r="8" spans="3:22">
      <c r="G8" s="259" t="s">
        <v>126</v>
      </c>
      <c r="H8" s="306">
        <v>25.122</v>
      </c>
      <c r="I8" s="306">
        <v>2.4</v>
      </c>
    </row>
    <row r="9" spans="3:22" ht="14.5" customHeight="1">
      <c r="G9" s="260" t="s">
        <v>127</v>
      </c>
      <c r="H9" s="310">
        <v>32.799999999999997</v>
      </c>
      <c r="I9" s="310">
        <v>3.2210000000000001</v>
      </c>
    </row>
    <row r="16" spans="3:22">
      <c r="F16" s="28" t="s">
        <v>128</v>
      </c>
    </row>
    <row r="17" spans="3:7" ht="121.5" customHeight="1">
      <c r="C17" s="264" t="s">
        <v>129</v>
      </c>
      <c r="D17" s="315" t="s">
        <v>101</v>
      </c>
      <c r="F17" s="265" t="s">
        <v>130</v>
      </c>
      <c r="G17" s="267" t="s">
        <v>131</v>
      </c>
    </row>
    <row r="18" spans="3:7">
      <c r="C18" s="253" t="s">
        <v>132</v>
      </c>
      <c r="D18" s="316">
        <v>854344</v>
      </c>
      <c r="F18" s="266" t="s">
        <v>133</v>
      </c>
      <c r="G18" s="268">
        <v>1</v>
      </c>
    </row>
    <row r="19" spans="3:7">
      <c r="C19" s="253" t="s">
        <v>108</v>
      </c>
      <c r="D19" s="316">
        <v>4449759</v>
      </c>
      <c r="F19" s="266" t="s">
        <v>134</v>
      </c>
      <c r="G19" s="268">
        <v>25</v>
      </c>
    </row>
    <row r="20" spans="3:7" ht="58">
      <c r="C20" s="253" t="s">
        <v>106</v>
      </c>
      <c r="D20" s="316">
        <v>4581763</v>
      </c>
      <c r="F20" s="266" t="s">
        <v>135</v>
      </c>
      <c r="G20" s="268">
        <v>298</v>
      </c>
    </row>
    <row r="21" spans="3:7" ht="29">
      <c r="C21" s="253" t="s">
        <v>110</v>
      </c>
      <c r="D21" s="316">
        <v>12489</v>
      </c>
      <c r="F21" s="266" t="s">
        <v>136</v>
      </c>
      <c r="G21" s="268">
        <v>14.8</v>
      </c>
    </row>
    <row r="22" spans="3:7">
      <c r="C22" s="253" t="s">
        <v>109</v>
      </c>
      <c r="D22" s="316">
        <v>89344</v>
      </c>
      <c r="F22" s="266" t="s">
        <v>137</v>
      </c>
      <c r="G22" s="268">
        <v>675</v>
      </c>
    </row>
    <row r="23" spans="3:7" ht="43.5">
      <c r="C23" s="253" t="s">
        <v>105</v>
      </c>
      <c r="D23" s="316">
        <v>4373719</v>
      </c>
      <c r="F23" s="266" t="s">
        <v>138</v>
      </c>
      <c r="G23" s="268">
        <v>92</v>
      </c>
    </row>
    <row r="24" spans="3:7">
      <c r="C24" s="253" t="s">
        <v>107</v>
      </c>
      <c r="D24" s="316">
        <v>89344</v>
      </c>
      <c r="F24" s="266" t="s">
        <v>139</v>
      </c>
      <c r="G24" s="268">
        <v>3.5</v>
      </c>
    </row>
    <row r="25" spans="3:7">
      <c r="C25" s="254" t="s">
        <v>140</v>
      </c>
      <c r="D25" s="316">
        <v>6269073</v>
      </c>
      <c r="F25" s="266" t="s">
        <v>141</v>
      </c>
      <c r="G25" s="268">
        <v>1.1000000000000001</v>
      </c>
    </row>
    <row r="26" spans="3:7">
      <c r="C26" s="253" t="s">
        <v>142</v>
      </c>
      <c r="D26" s="316">
        <v>10418361</v>
      </c>
      <c r="F26" s="266" t="s">
        <v>143</v>
      </c>
      <c r="G26" s="268">
        <v>1.43</v>
      </c>
    </row>
    <row r="27" spans="3:7">
      <c r="C27" s="253" t="s">
        <v>104</v>
      </c>
      <c r="D27" s="316">
        <v>89344</v>
      </c>
      <c r="F27" s="266" t="s">
        <v>144</v>
      </c>
      <c r="G27" s="268">
        <v>353</v>
      </c>
    </row>
    <row r="28" spans="3:7">
      <c r="C28" s="253" t="s">
        <v>145</v>
      </c>
      <c r="D28" s="316">
        <v>89344</v>
      </c>
      <c r="F28" s="266" t="s">
        <v>146</v>
      </c>
      <c r="G28" s="268">
        <v>4.47</v>
      </c>
    </row>
    <row r="29" spans="3:7">
      <c r="C29" s="253" t="s">
        <v>147</v>
      </c>
      <c r="D29" s="316">
        <v>89344</v>
      </c>
      <c r="F29" s="266" t="s">
        <v>148</v>
      </c>
      <c r="G29" s="268">
        <v>124</v>
      </c>
    </row>
    <row r="30" spans="3:7">
      <c r="C30" s="253" t="s">
        <v>103</v>
      </c>
      <c r="D30" s="316">
        <v>89344</v>
      </c>
      <c r="F30" s="266" t="s">
        <v>149</v>
      </c>
      <c r="G30" s="268">
        <v>3.22</v>
      </c>
    </row>
    <row r="31" spans="3:7">
      <c r="C31" s="253" t="s">
        <v>150</v>
      </c>
      <c r="D31" s="316">
        <v>89344</v>
      </c>
      <c r="F31" s="266" t="s">
        <v>151</v>
      </c>
      <c r="G31" s="268">
        <v>9.81</v>
      </c>
    </row>
    <row r="32" spans="3:7">
      <c r="C32" s="23"/>
      <c r="F32" s="266" t="s">
        <v>152</v>
      </c>
      <c r="G32" s="268">
        <v>1.03</v>
      </c>
    </row>
    <row r="33" spans="3:7">
      <c r="C33" s="23"/>
      <c r="F33" s="266" t="s">
        <v>153</v>
      </c>
      <c r="G33" s="268">
        <v>1.64</v>
      </c>
    </row>
    <row r="34" spans="3:7">
      <c r="C34" s="23"/>
      <c r="F34" s="266" t="s">
        <v>154</v>
      </c>
      <c r="G34" s="268">
        <v>7.39</v>
      </c>
    </row>
    <row r="35" spans="3:7">
      <c r="F35" s="266" t="s">
        <v>155</v>
      </c>
      <c r="G35" s="268">
        <v>12.2</v>
      </c>
    </row>
    <row r="36" spans="3:7">
      <c r="F36" s="266" t="s">
        <v>156</v>
      </c>
      <c r="G36" s="268">
        <v>8.83</v>
      </c>
    </row>
    <row r="37" spans="3:7">
      <c r="F37" s="266" t="s">
        <v>157</v>
      </c>
      <c r="G37" s="268">
        <v>10.3</v>
      </c>
    </row>
    <row r="38" spans="3:7">
      <c r="F38" s="266" t="s">
        <v>158</v>
      </c>
      <c r="G38" s="268">
        <v>8.86</v>
      </c>
    </row>
    <row r="39" spans="3:7">
      <c r="F39" s="266" t="s">
        <v>159</v>
      </c>
      <c r="G39" s="268">
        <v>9.16</v>
      </c>
    </row>
    <row r="40" spans="3:7">
      <c r="F40" s="266" t="s">
        <v>160</v>
      </c>
      <c r="G40" s="268">
        <v>9.3000000000000007</v>
      </c>
    </row>
    <row r="41" spans="3:7">
      <c r="F41" s="266" t="s">
        <v>161</v>
      </c>
      <c r="G41" s="268">
        <v>22.8</v>
      </c>
    </row>
    <row r="42" spans="3:7">
      <c r="F42" s="266" t="s">
        <v>162</v>
      </c>
      <c r="G42" s="268">
        <v>53</v>
      </c>
    </row>
    <row r="43" spans="3:7">
      <c r="F43" s="266" t="s">
        <v>163</v>
      </c>
      <c r="G43" s="268">
        <v>12</v>
      </c>
    </row>
    <row r="44" spans="3:7">
      <c r="F44" s="266" t="s">
        <v>164</v>
      </c>
      <c r="G44" s="268">
        <v>1.34</v>
      </c>
    </row>
    <row r="45" spans="3:7">
      <c r="F45" s="266" t="s">
        <v>165</v>
      </c>
      <c r="G45" s="268">
        <v>1.37</v>
      </c>
    </row>
    <row r="46" spans="3:7">
      <c r="F46" s="266" t="s">
        <v>166</v>
      </c>
      <c r="G46" s="268">
        <v>693</v>
      </c>
    </row>
    <row r="47" spans="3:7">
      <c r="F47" s="266" t="s">
        <v>167</v>
      </c>
      <c r="G47" s="268">
        <v>794</v>
      </c>
    </row>
    <row r="48" spans="3:7">
      <c r="F48" s="266" t="s">
        <v>168</v>
      </c>
      <c r="G48" s="268">
        <v>3.9220000000000002</v>
      </c>
    </row>
    <row r="49" spans="6:7">
      <c r="F49" s="266" t="s">
        <v>169</v>
      </c>
      <c r="G49" s="268">
        <v>2.1070000000000002</v>
      </c>
    </row>
    <row r="50" spans="6:7">
      <c r="F50" s="266" t="s">
        <v>170</v>
      </c>
      <c r="G50" s="268">
        <v>1.774</v>
      </c>
    </row>
  </sheetData>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E5EC3-CBD8-4F76-B04F-88DE2C8F0EB5}">
  <dimension ref="A1:L7"/>
  <sheetViews>
    <sheetView workbookViewId="0">
      <selection activeCell="E11" sqref="E11"/>
    </sheetView>
  </sheetViews>
  <sheetFormatPr defaultRowHeight="14.5"/>
  <cols>
    <col min="1" max="1" width="20.1796875" bestFit="1" customWidth="1"/>
    <col min="2" max="2" width="6.453125" bestFit="1" customWidth="1"/>
    <col min="3" max="3" width="19.453125" bestFit="1" customWidth="1"/>
    <col min="4" max="4" width="19.1796875" bestFit="1" customWidth="1"/>
    <col min="5" max="5" width="18.26953125" bestFit="1" customWidth="1"/>
    <col min="6" max="6" width="9.81640625" customWidth="1"/>
    <col min="7" max="7" width="6.7265625" customWidth="1"/>
    <col min="8" max="8" width="9.26953125" customWidth="1"/>
    <col min="9" max="9" width="12.1796875" customWidth="1"/>
    <col min="10" max="10" width="7.6328125" bestFit="1" customWidth="1"/>
    <col min="11" max="11" width="19.6328125" bestFit="1" customWidth="1"/>
    <col min="12" max="12" width="14.7265625" customWidth="1"/>
  </cols>
  <sheetData>
    <row r="1" spans="1:12">
      <c r="A1" s="338" t="s">
        <v>171</v>
      </c>
      <c r="B1" s="338"/>
      <c r="C1" s="338"/>
      <c r="D1" s="338"/>
      <c r="E1" s="338"/>
      <c r="F1" s="338"/>
      <c r="G1" s="338"/>
      <c r="H1" s="338"/>
      <c r="I1" s="338"/>
      <c r="J1" s="338"/>
      <c r="K1" s="338"/>
    </row>
    <row r="2" spans="1:12" ht="93">
      <c r="A2" s="4" t="s">
        <v>172</v>
      </c>
      <c r="B2" s="4" t="s">
        <v>173</v>
      </c>
      <c r="C2" s="4" t="s">
        <v>174</v>
      </c>
      <c r="D2" s="4" t="s">
        <v>175</v>
      </c>
      <c r="E2" s="4" t="s">
        <v>176</v>
      </c>
      <c r="F2" s="4" t="s">
        <v>177</v>
      </c>
      <c r="G2" s="4" t="s">
        <v>178</v>
      </c>
      <c r="H2" s="4" t="s">
        <v>179</v>
      </c>
      <c r="I2" s="4" t="s">
        <v>180</v>
      </c>
      <c r="J2" s="5" t="s">
        <v>181</v>
      </c>
      <c r="K2" s="6" t="s">
        <v>182</v>
      </c>
    </row>
    <row r="3" spans="1:12" ht="58">
      <c r="A3" s="2"/>
      <c r="B3" s="2"/>
      <c r="C3" s="2"/>
      <c r="D3" s="2"/>
      <c r="E3" s="2"/>
      <c r="F3" s="2"/>
      <c r="G3" s="2"/>
      <c r="H3" s="2"/>
      <c r="I3" s="2"/>
      <c r="J3" s="2"/>
      <c r="K3" s="2"/>
      <c r="L3" s="7" t="s">
        <v>183</v>
      </c>
    </row>
    <row r="4" spans="1:12">
      <c r="A4" s="2"/>
      <c r="B4" s="2"/>
      <c r="C4" s="2"/>
      <c r="D4" s="2"/>
      <c r="E4" s="2"/>
      <c r="F4" s="2"/>
      <c r="G4" s="2"/>
      <c r="H4" s="2"/>
      <c r="I4" s="2"/>
      <c r="J4" s="2"/>
      <c r="K4" s="2"/>
    </row>
    <row r="5" spans="1:12">
      <c r="A5" s="2"/>
      <c r="B5" s="2"/>
      <c r="C5" s="2"/>
      <c r="D5" s="2"/>
      <c r="E5" s="2"/>
      <c r="F5" s="2"/>
      <c r="G5" s="2"/>
      <c r="H5" s="2"/>
      <c r="I5" s="2"/>
      <c r="J5" s="2"/>
      <c r="K5" s="2"/>
    </row>
    <row r="6" spans="1:12">
      <c r="A6" s="2"/>
      <c r="B6" s="2"/>
      <c r="C6" s="2"/>
      <c r="D6" s="2"/>
      <c r="E6" s="2"/>
      <c r="F6" s="2"/>
      <c r="G6" s="2"/>
      <c r="H6" s="2"/>
      <c r="I6" s="2"/>
      <c r="J6" s="2"/>
      <c r="K6" s="2"/>
    </row>
    <row r="7" spans="1:12">
      <c r="A7" s="2"/>
      <c r="B7" s="2"/>
      <c r="C7" s="2"/>
      <c r="D7" s="2"/>
      <c r="E7" s="2"/>
      <c r="F7" s="2"/>
      <c r="G7" s="2"/>
      <c r="H7" s="2"/>
      <c r="I7" s="2"/>
      <c r="J7" s="2"/>
      <c r="K7" s="2"/>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FE9A-9952-4030-B78D-537BB8C79A8C}">
  <dimension ref="A1:F7"/>
  <sheetViews>
    <sheetView workbookViewId="0">
      <selection activeCell="E10" sqref="E10"/>
    </sheetView>
  </sheetViews>
  <sheetFormatPr defaultRowHeight="14.5"/>
  <cols>
    <col min="1" max="1" width="20.1796875" bestFit="1" customWidth="1"/>
    <col min="2" max="2" width="6.453125" bestFit="1" customWidth="1"/>
    <col min="3" max="3" width="19.453125" bestFit="1" customWidth="1"/>
    <col min="4" max="4" width="19.1796875" bestFit="1" customWidth="1"/>
    <col min="5" max="5" width="18.26953125" bestFit="1" customWidth="1"/>
    <col min="6" max="6" width="14.7265625" customWidth="1"/>
  </cols>
  <sheetData>
    <row r="1" spans="1:6">
      <c r="A1" s="338" t="s">
        <v>171</v>
      </c>
      <c r="B1" s="338"/>
      <c r="C1" s="338"/>
      <c r="D1" s="338"/>
      <c r="E1" s="338"/>
    </row>
    <row r="2" spans="1:6" ht="46.5">
      <c r="A2" s="4" t="s">
        <v>184</v>
      </c>
      <c r="B2" s="4" t="s">
        <v>185</v>
      </c>
      <c r="C2" s="4" t="s">
        <v>186</v>
      </c>
      <c r="D2" s="4" t="s">
        <v>187</v>
      </c>
      <c r="E2" s="4" t="s">
        <v>188</v>
      </c>
    </row>
    <row r="3" spans="1:6" ht="58">
      <c r="A3" s="2"/>
      <c r="B3" s="2"/>
      <c r="C3" s="2"/>
      <c r="D3" s="2"/>
      <c r="E3" s="2"/>
      <c r="F3" s="3" t="s">
        <v>183</v>
      </c>
    </row>
    <row r="4" spans="1:6">
      <c r="A4" s="2"/>
      <c r="B4" s="2"/>
      <c r="C4" s="2"/>
      <c r="D4" s="2"/>
      <c r="E4" s="2"/>
    </row>
    <row r="5" spans="1:6">
      <c r="A5" s="2"/>
      <c r="B5" s="2"/>
      <c r="C5" s="2"/>
      <c r="D5" s="2"/>
      <c r="E5" s="2"/>
    </row>
    <row r="6" spans="1:6">
      <c r="A6" s="2"/>
      <c r="B6" s="2"/>
      <c r="C6" s="2"/>
      <c r="D6" s="2"/>
      <c r="E6" s="2"/>
    </row>
    <row r="7" spans="1:6">
      <c r="A7" s="2"/>
      <c r="B7" s="2"/>
      <c r="C7" s="2"/>
      <c r="D7" s="2"/>
      <c r="E7" s="2"/>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810F-1B86-455B-97E2-2DF15B1BC126}">
  <dimension ref="A1:M7"/>
  <sheetViews>
    <sheetView workbookViewId="0">
      <selection activeCell="I4" sqref="I4"/>
    </sheetView>
  </sheetViews>
  <sheetFormatPr defaultRowHeight="14.5"/>
  <cols>
    <col min="1" max="1" width="7.90625" bestFit="1" customWidth="1"/>
    <col min="2" max="2" width="7.7265625" customWidth="1"/>
    <col min="3" max="3" width="9.453125" bestFit="1" customWidth="1"/>
    <col min="4" max="4" width="19.1796875" bestFit="1" customWidth="1"/>
    <col min="5" max="5" width="18.26953125" bestFit="1" customWidth="1"/>
    <col min="6" max="6" width="17.26953125" customWidth="1"/>
    <col min="7" max="7" width="22.36328125" customWidth="1"/>
    <col min="8" max="8" width="18.453125" customWidth="1"/>
    <col min="9" max="9" width="12.1796875" customWidth="1"/>
    <col min="10" max="10" width="13.90625" bestFit="1" customWidth="1"/>
    <col min="11" max="11" width="19.6328125" bestFit="1" customWidth="1"/>
    <col min="12" max="12" width="19.6328125" customWidth="1"/>
    <col min="13" max="13" width="14.7265625" customWidth="1"/>
  </cols>
  <sheetData>
    <row r="1" spans="1:13">
      <c r="A1" s="338" t="s">
        <v>171</v>
      </c>
      <c r="B1" s="338"/>
      <c r="C1" s="338"/>
      <c r="D1" s="338"/>
      <c r="E1" s="338"/>
      <c r="F1" s="338"/>
      <c r="G1" s="338"/>
      <c r="H1" s="338"/>
      <c r="I1" s="338"/>
      <c r="J1" s="338"/>
      <c r="K1" s="338"/>
      <c r="L1" s="8"/>
    </row>
    <row r="2" spans="1:13" ht="35.5">
      <c r="A2" s="9" t="s">
        <v>189</v>
      </c>
      <c r="B2" s="9" t="s">
        <v>190</v>
      </c>
      <c r="C2" s="9" t="s">
        <v>191</v>
      </c>
      <c r="D2" s="9" t="s">
        <v>192</v>
      </c>
      <c r="E2" s="9" t="s">
        <v>193</v>
      </c>
      <c r="F2" s="9" t="s">
        <v>194</v>
      </c>
      <c r="G2" s="9" t="s">
        <v>195</v>
      </c>
      <c r="H2" s="9" t="s">
        <v>196</v>
      </c>
      <c r="I2" s="9" t="s">
        <v>197</v>
      </c>
      <c r="J2" s="10" t="s">
        <v>198</v>
      </c>
      <c r="K2" s="12" t="s">
        <v>199</v>
      </c>
      <c r="L2" s="12" t="s">
        <v>200</v>
      </c>
    </row>
    <row r="3" spans="1:13" ht="58">
      <c r="A3" s="2"/>
      <c r="B3" s="2"/>
      <c r="C3" s="2"/>
      <c r="D3" s="2"/>
      <c r="E3" s="2"/>
      <c r="F3" s="2"/>
      <c r="G3" s="2"/>
      <c r="H3" s="2"/>
      <c r="I3" s="2"/>
      <c r="J3" s="2"/>
      <c r="K3" s="2"/>
      <c r="L3" s="2"/>
      <c r="M3" s="11" t="s">
        <v>183</v>
      </c>
    </row>
    <row r="4" spans="1:13">
      <c r="A4" s="2"/>
      <c r="B4" s="2"/>
      <c r="C4" s="2"/>
      <c r="D4" s="2"/>
      <c r="E4" s="2"/>
      <c r="F4" s="2"/>
      <c r="G4" s="2"/>
      <c r="H4" s="2"/>
      <c r="I4" s="2"/>
      <c r="J4" s="2"/>
      <c r="K4" s="2"/>
      <c r="L4" s="2"/>
    </row>
    <row r="5" spans="1:13">
      <c r="A5" s="2"/>
      <c r="B5" s="2"/>
      <c r="C5" s="2"/>
      <c r="D5" s="2"/>
      <c r="E5" s="2"/>
      <c r="F5" s="2"/>
      <c r="G5" s="2"/>
      <c r="H5" s="2"/>
      <c r="I5" s="2"/>
      <c r="J5" s="2"/>
      <c r="K5" s="2"/>
      <c r="L5" s="2"/>
    </row>
    <row r="6" spans="1:13">
      <c r="A6" s="2"/>
      <c r="B6" s="2"/>
      <c r="C6" s="2"/>
      <c r="D6" s="2"/>
      <c r="E6" s="2"/>
      <c r="F6" s="2"/>
      <c r="G6" s="2"/>
      <c r="H6" s="2"/>
      <c r="I6" s="2"/>
      <c r="J6" s="2"/>
      <c r="K6" s="2"/>
      <c r="L6" s="2"/>
    </row>
    <row r="7" spans="1:13">
      <c r="A7" s="2"/>
      <c r="B7" s="2"/>
      <c r="C7" s="2"/>
      <c r="D7" s="2"/>
      <c r="E7" s="2"/>
      <c r="F7" s="2"/>
      <c r="G7" s="2"/>
      <c r="H7" s="2"/>
      <c r="I7" s="2"/>
      <c r="J7" s="2"/>
      <c r="K7" s="2"/>
      <c r="L7" s="2"/>
    </row>
  </sheetData>
  <mergeCells count="1">
    <mergeCell ref="A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739C-C725-47D3-845B-D46C8A17BE58}">
  <dimension ref="A1:K7"/>
  <sheetViews>
    <sheetView workbookViewId="0">
      <selection activeCell="H4" sqref="H4"/>
    </sheetView>
  </sheetViews>
  <sheetFormatPr defaultRowHeight="14.5"/>
  <cols>
    <col min="1" max="1" width="7.90625" bestFit="1" customWidth="1"/>
    <col min="2" max="2" width="13.08984375" customWidth="1"/>
    <col min="3" max="3" width="9.453125" bestFit="1" customWidth="1"/>
    <col min="4" max="4" width="19.1796875" bestFit="1" customWidth="1"/>
    <col min="5" max="5" width="18.26953125" bestFit="1" customWidth="1"/>
    <col min="6" max="6" width="17.26953125" customWidth="1"/>
    <col min="7" max="7" width="22.36328125" customWidth="1"/>
    <col min="8" max="8" width="18.453125" customWidth="1"/>
    <col min="9" max="9" width="12.1796875" customWidth="1"/>
    <col min="10" max="10" width="13.90625" bestFit="1" customWidth="1"/>
    <col min="11" max="11" width="14.7265625" customWidth="1"/>
  </cols>
  <sheetData>
    <row r="1" spans="1:11">
      <c r="A1" s="338" t="s">
        <v>171</v>
      </c>
      <c r="B1" s="338"/>
      <c r="C1" s="338"/>
      <c r="D1" s="338"/>
      <c r="E1" s="338"/>
      <c r="F1" s="338"/>
      <c r="G1" s="338"/>
      <c r="H1" s="338"/>
      <c r="I1" s="338"/>
      <c r="J1" s="338"/>
    </row>
    <row r="2" spans="1:11" ht="29">
      <c r="A2" s="13" t="s">
        <v>201</v>
      </c>
      <c r="B2" s="14" t="s">
        <v>202</v>
      </c>
      <c r="C2" s="13" t="s">
        <v>190</v>
      </c>
      <c r="D2" s="15" t="s">
        <v>203</v>
      </c>
      <c r="E2" s="16" t="s">
        <v>204</v>
      </c>
      <c r="F2" s="16" t="s">
        <v>205</v>
      </c>
      <c r="G2" s="15" t="s">
        <v>206</v>
      </c>
      <c r="H2" s="15" t="s">
        <v>188</v>
      </c>
      <c r="I2" s="15" t="s">
        <v>207</v>
      </c>
      <c r="J2" s="15" t="s">
        <v>208</v>
      </c>
    </row>
    <row r="3" spans="1:11" ht="58">
      <c r="A3" s="2"/>
      <c r="B3" s="2"/>
      <c r="C3" s="2"/>
      <c r="D3" s="2"/>
      <c r="E3" s="2"/>
      <c r="F3" s="2"/>
      <c r="G3" s="2"/>
      <c r="H3" s="2"/>
      <c r="I3" s="2"/>
      <c r="J3" s="2"/>
      <c r="K3" s="11" t="s">
        <v>183</v>
      </c>
    </row>
    <row r="4" spans="1:11">
      <c r="A4" s="2"/>
      <c r="B4" s="2"/>
      <c r="C4" s="2"/>
      <c r="D4" s="2"/>
      <c r="E4" s="2"/>
      <c r="F4" s="2"/>
      <c r="G4" s="2"/>
      <c r="H4" s="2"/>
      <c r="I4" s="2"/>
      <c r="J4" s="2"/>
    </row>
    <row r="5" spans="1:11">
      <c r="A5" s="2"/>
      <c r="B5" s="2"/>
      <c r="C5" s="2"/>
      <c r="D5" s="2"/>
      <c r="E5" s="2"/>
      <c r="F5" s="2"/>
      <c r="G5" s="2"/>
      <c r="H5" s="2"/>
      <c r="I5" s="2"/>
      <c r="J5" s="2"/>
    </row>
    <row r="6" spans="1:11">
      <c r="A6" s="2"/>
      <c r="B6" s="2"/>
      <c r="C6" s="2"/>
      <c r="D6" s="2"/>
      <c r="E6" s="2"/>
      <c r="F6" s="2"/>
      <c r="G6" s="2"/>
      <c r="H6" s="2"/>
      <c r="I6" s="2"/>
      <c r="J6" s="2"/>
    </row>
    <row r="7" spans="1:11">
      <c r="A7" s="2"/>
      <c r="B7" s="2"/>
      <c r="C7" s="2"/>
      <c r="D7" s="2"/>
      <c r="E7" s="2"/>
      <c r="F7" s="2"/>
      <c r="G7" s="2"/>
      <c r="H7" s="2"/>
      <c r="I7" s="2"/>
      <c r="J7" s="2"/>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58DF-C06E-4C42-82E4-3E3BDAAC7AB6}">
  <dimension ref="A1:J7"/>
  <sheetViews>
    <sheetView workbookViewId="0">
      <selection activeCell="A23" sqref="A23"/>
    </sheetView>
  </sheetViews>
  <sheetFormatPr defaultRowHeight="14.5"/>
  <cols>
    <col min="1" max="1" width="21" customWidth="1"/>
    <col min="2" max="2" width="7.7265625" customWidth="1"/>
    <col min="3" max="3" width="19.90625" customWidth="1"/>
    <col min="4" max="4" width="13.54296875" customWidth="1"/>
    <col min="5" max="5" width="20.7265625" customWidth="1"/>
    <col min="6" max="6" width="13.1796875" customWidth="1"/>
    <col min="7" max="7" width="11.08984375" customWidth="1"/>
    <col min="8" max="8" width="18.453125" customWidth="1"/>
    <col min="9" max="9" width="28.90625" customWidth="1"/>
    <col min="10" max="10" width="14.7265625" customWidth="1"/>
  </cols>
  <sheetData>
    <row r="1" spans="1:10">
      <c r="A1" s="338" t="s">
        <v>171</v>
      </c>
      <c r="B1" s="338"/>
      <c r="C1" s="338"/>
      <c r="D1" s="338"/>
      <c r="E1" s="338"/>
      <c r="F1" s="338"/>
      <c r="G1" s="338"/>
      <c r="H1" s="338"/>
      <c r="I1" s="338"/>
    </row>
    <row r="2" spans="1:10" ht="77.5">
      <c r="A2" s="17" t="s">
        <v>209</v>
      </c>
      <c r="B2" s="18" t="s">
        <v>210</v>
      </c>
      <c r="C2" s="18" t="s">
        <v>211</v>
      </c>
      <c r="D2" s="18" t="s">
        <v>212</v>
      </c>
      <c r="E2" s="20" t="s">
        <v>213</v>
      </c>
      <c r="F2" s="22" t="s">
        <v>214</v>
      </c>
      <c r="G2" s="22" t="s">
        <v>215</v>
      </c>
      <c r="H2" s="21" t="s">
        <v>216</v>
      </c>
      <c r="I2" s="19" t="s">
        <v>217</v>
      </c>
    </row>
    <row r="3" spans="1:10" ht="58">
      <c r="A3" s="2"/>
      <c r="B3" s="2"/>
      <c r="C3" s="2"/>
      <c r="D3" s="2"/>
      <c r="E3" s="2"/>
      <c r="F3" s="2"/>
      <c r="G3" s="2"/>
      <c r="H3" s="2"/>
      <c r="I3" s="2"/>
      <c r="J3" s="11" t="s">
        <v>183</v>
      </c>
    </row>
    <row r="4" spans="1:10">
      <c r="A4" s="2"/>
      <c r="B4" s="2"/>
      <c r="C4" s="2"/>
      <c r="D4" s="2"/>
      <c r="E4" s="2"/>
      <c r="F4" s="2"/>
      <c r="G4" s="2"/>
      <c r="H4" s="2"/>
      <c r="I4" s="2"/>
    </row>
    <row r="5" spans="1:10">
      <c r="A5" s="2"/>
      <c r="B5" s="2"/>
      <c r="C5" s="2"/>
      <c r="D5" s="2"/>
      <c r="E5" s="2"/>
      <c r="F5" s="2"/>
      <c r="G5" s="2"/>
      <c r="H5" s="2"/>
      <c r="I5" s="2"/>
    </row>
    <row r="6" spans="1:10">
      <c r="A6" s="2"/>
      <c r="B6" s="2"/>
      <c r="C6" s="2"/>
      <c r="D6" s="2"/>
      <c r="E6" s="2"/>
      <c r="F6" s="2"/>
      <c r="G6" s="2"/>
      <c r="H6" s="2"/>
      <c r="I6" s="2"/>
    </row>
    <row r="7" spans="1:10">
      <c r="A7" s="2"/>
      <c r="B7" s="2"/>
      <c r="C7" s="2"/>
      <c r="D7" s="2"/>
      <c r="E7" s="2"/>
      <c r="F7" s="2"/>
      <c r="G7" s="2"/>
      <c r="H7" s="2"/>
      <c r="I7" s="2"/>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Energy n product</vt:lpstr>
      <vt:lpstr>Waste</vt:lpstr>
      <vt:lpstr>Ref tables</vt:lpstr>
      <vt:lpstr>HVAC</vt:lpstr>
      <vt:lpstr>Lighting</vt:lpstr>
      <vt:lpstr>Boiler &amp; Thermopac</vt:lpstr>
      <vt:lpstr>Air compressor</vt:lpstr>
      <vt:lpstr>Bơm quạt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 Tran Quoc</dc:creator>
  <cp:lastModifiedBy>Thang, Tran Quoc</cp:lastModifiedBy>
  <dcterms:created xsi:type="dcterms:W3CDTF">2015-06-05T18:17:20Z</dcterms:created>
  <dcterms:modified xsi:type="dcterms:W3CDTF">2023-05-18T16:54:02Z</dcterms:modified>
</cp:coreProperties>
</file>