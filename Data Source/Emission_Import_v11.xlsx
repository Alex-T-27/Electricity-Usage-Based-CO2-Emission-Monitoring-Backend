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16608" windowHeight="9432" firstSheet="2" activeTab="6"/>
  </bookViews>
  <sheets>
    <sheet name="Summary" sheetId="8" r:id="rId1"/>
    <sheet name="Material use" sheetId="1" r:id="rId2"/>
    <sheet name="Upstream TD" sheetId="2" r:id="rId3"/>
    <sheet name="Waste disposal" sheetId="3" r:id="rId4"/>
    <sheet name="Business travel" sheetId="4" r:id="rId5"/>
    <sheet name="Employees commuting" sheetId="5" r:id="rId6"/>
    <sheet name="Wast Water" sheetId="7" r:id="rId7"/>
  </sheets>
  <externalReferences>
    <externalReference r:id="rId8"/>
  </externalReferences>
  <definedNames>
    <definedName name="CH4_GWP">'[1]Emission Factors'!$B$207</definedName>
    <definedName name="N2O_GWP">'[1]Emission Factors'!$B$208</definedName>
    <definedName name="Prod_TransTM_fctrs">'[1]Emission Factors'!$A$334:$D$337</definedName>
    <definedName name="Prod_TransVM_Fctrs">'[1]Emission Factors'!$A$331:$D$333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jGM+ahOFiOSnCdCY00FT2FTvc5fw=="/>
    </ext>
  </extLst>
</workbook>
</file>

<file path=xl/calcChain.xml><?xml version="1.0" encoding="utf-8"?>
<calcChain xmlns="http://schemas.openxmlformats.org/spreadsheetml/2006/main">
  <c r="E4" i="7" l="1"/>
  <c r="E3" i="7"/>
  <c r="E2" i="7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21" i="5" s="1"/>
  <c r="D7" i="8" s="1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21" i="4" s="1"/>
  <c r="E6" i="4"/>
  <c r="E5" i="4"/>
  <c r="E4" i="4"/>
  <c r="E3" i="4"/>
  <c r="E2" i="4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6" i="3" s="1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21" i="2" s="1"/>
  <c r="D4" i="8" s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6" i="1" l="1"/>
  <c r="D3" i="8" s="1"/>
  <c r="D8" i="8"/>
  <c r="D6" i="8"/>
  <c r="D5" i="8"/>
  <c r="D9" i="8" l="1"/>
</calcChain>
</file>

<file path=xl/sharedStrings.xml><?xml version="1.0" encoding="utf-8"?>
<sst xmlns="http://schemas.openxmlformats.org/spreadsheetml/2006/main" count="133" uniqueCount="77">
  <si>
    <t>#</t>
  </si>
  <si>
    <t>Sheet</t>
  </si>
  <si>
    <t>Tổng lượng phát thải (kg CO2e)</t>
  </si>
  <si>
    <t>Material use</t>
  </si>
  <si>
    <t>Upstream TD</t>
  </si>
  <si>
    <t>Waste disposal</t>
  </si>
  <si>
    <t>Business travel</t>
  </si>
  <si>
    <t>Employees commuting</t>
  </si>
  <si>
    <t>Wast Water</t>
  </si>
  <si>
    <t>Id</t>
  </si>
  <si>
    <t>Loại vật liệu</t>
  </si>
  <si>
    <t>Hệ số phát thải</t>
  </si>
  <si>
    <t>Tổng vật liệu (Tấn)</t>
  </si>
  <si>
    <t>Batteries -Pin</t>
  </si>
  <si>
    <t>Clothing - Vải</t>
  </si>
  <si>
    <t>Commercial and industrial waste - Rác Thương mại và công nghiệp</t>
  </si>
  <si>
    <t>Concrete - Bê tông</t>
  </si>
  <si>
    <t>Glass - kính</t>
  </si>
  <si>
    <t xml:space="preserve">Household residual waste - rác sinh hoạt </t>
  </si>
  <si>
    <t>Rác thải kim loại</t>
  </si>
  <si>
    <t>Organic: food and drink waste -Rác thải hữu cơ thực phẩm và đồ uống</t>
  </si>
  <si>
    <t>Giấy</t>
  </si>
  <si>
    <t>Nhựa PET</t>
  </si>
  <si>
    <t>Nhựa PVC</t>
  </si>
  <si>
    <t>Nhựa PS</t>
  </si>
  <si>
    <t>Gỗ</t>
  </si>
  <si>
    <t>Cao Su</t>
  </si>
  <si>
    <t>Vui lòng không thay đổi template khi nhập liệu, xin cảm ơn.</t>
  </si>
  <si>
    <t>Loại xe</t>
  </si>
  <si>
    <t>Hệ số phát thải (kg co2/km)</t>
  </si>
  <si>
    <t>Xe Buýt-Xăng</t>
  </si>
  <si>
    <t>Xe Buýt-Dầu</t>
  </si>
  <si>
    <t>Xe Buýt-Khí CNG</t>
  </si>
  <si>
    <t>Xe Buýt-Điện</t>
  </si>
  <si>
    <t>Ô Tô 4 chỗ-Diesel</t>
  </si>
  <si>
    <t>Ô tô 7 chỗ-Diesel</t>
  </si>
  <si>
    <t>Ô tô 16 chỗ-Diesel</t>
  </si>
  <si>
    <t>Ô Tô 4 chỗ-Petrol</t>
  </si>
  <si>
    <t>Ô tô 7 chỗ-Petrol</t>
  </si>
  <si>
    <t>Ô tô 16 chỗ-Petrol</t>
  </si>
  <si>
    <t>Ô Tô 4 chỗ-Hybrid</t>
  </si>
  <si>
    <t>Ô tô 7 chỗ-Hybrid</t>
  </si>
  <si>
    <t>Xe máy-Petrol</t>
  </si>
  <si>
    <t>Xe máy-Hybrid</t>
  </si>
  <si>
    <t>Máy bay-Nhiên liệu máy bay</t>
  </si>
  <si>
    <t>Taxi-Hybrid</t>
  </si>
  <si>
    <t>Taxi-Petrol</t>
  </si>
  <si>
    <t>Taxi-Diesel</t>
  </si>
  <si>
    <t>Tàu điện-Electricity</t>
  </si>
  <si>
    <t xml:space="preserve"> Loại rác</t>
  </si>
  <si>
    <t>Hệ số phát thải (kg co2e/tấn)</t>
  </si>
  <si>
    <t>Hệ số</t>
  </si>
  <si>
    <t>Tổng km</t>
  </si>
  <si>
    <t>Factors</t>
  </si>
  <si>
    <t>Xe Buýt - Xăng</t>
  </si>
  <si>
    <t>Xe Buýt - Dầu</t>
  </si>
  <si>
    <t>Xe Buýt - Khí CNG</t>
  </si>
  <si>
    <t>Xe Buýt - Điện</t>
  </si>
  <si>
    <t>Ô Tô 4 chỗ - Diesel</t>
  </si>
  <si>
    <t>Ô tô 7 chỗ - Diesel</t>
  </si>
  <si>
    <t>Ô tô 16 chỗ - Diesel</t>
  </si>
  <si>
    <t>Ô Tô 4 chỗ - Petrol</t>
  </si>
  <si>
    <t>Ô tô 7 chỗ - Petrol</t>
  </si>
  <si>
    <t>Ô tô 16 chỗ - Petrol</t>
  </si>
  <si>
    <t>Ô Tô 4 chỗ - Hybrid</t>
  </si>
  <si>
    <t>Ô tô 7 chỗ - Hybrid</t>
  </si>
  <si>
    <t>Xe máy - Petrol</t>
  </si>
  <si>
    <t>Xe máy - Hybrid</t>
  </si>
  <si>
    <t>Máy bay - Nhiên liệu máy bay</t>
  </si>
  <si>
    <t>Taxi - Hybrid</t>
  </si>
  <si>
    <t>Taxi - Petrol</t>
  </si>
  <si>
    <t>Taxi - Diesel</t>
  </si>
  <si>
    <t>Tàu điện - Electricity</t>
  </si>
  <si>
    <t>EmissionName</t>
  </si>
  <si>
    <t>Tổng lượng nước(m3)</t>
  </si>
  <si>
    <t>Water Supply - nước sạch</t>
  </si>
  <si>
    <t>Water treatment - xử lý nước thải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</si>
</sst>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</font>
    <font>
      <b/>
      <sz val="16"/>
      <color rgb="FFFF0000"/>
      <name val="Calibri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9" fillId="0" borderId="0"/>
  </cellStyleXfs>
  <cellXfs count="56">
    <xf numFmtId="0" fontId="0" fillId="0" borderId="0" xfId="0"/>
    <xf numFmtId="0" fontId="3" fillId="0" borderId="1" xfId="0" applyFont="1" applyBorder="1" applyAlignment="1">
      <alignment wrapText="1"/>
    </xf>
    <xf numFmtId="0" fontId="0" fillId="0" borderId="1" xfId="0" applyBorder="1"/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3" fontId="8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vertical="center" wrapText="1"/>
    </xf>
    <xf numFmtId="0" fontId="10" fillId="0" borderId="1" xfId="0" applyFont="1" applyBorder="1" applyAlignment="1">
      <alignment wrapText="1"/>
    </xf>
    <xf numFmtId="0" fontId="2" fillId="0" borderId="1" xfId="0" applyFont="1" applyBorder="1"/>
    <xf numFmtId="0" fontId="10" fillId="0" borderId="1" xfId="0" applyFont="1" applyBorder="1" applyAlignment="1">
      <alignment vertical="center" wrapText="1"/>
    </xf>
    <xf numFmtId="0" fontId="0" fillId="0" borderId="2" xfId="0" applyBorder="1"/>
    <xf numFmtId="0" fontId="4" fillId="0" borderId="2" xfId="0" applyFont="1" applyBorder="1" applyAlignment="1">
      <alignment wrapText="1"/>
    </xf>
    <xf numFmtId="0" fontId="9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wrapText="1"/>
    </xf>
    <xf numFmtId="3" fontId="12" fillId="0" borderId="2" xfId="0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9" fillId="2" borderId="2" xfId="0" applyFont="1" applyFill="1" applyBorder="1" applyAlignment="1">
      <alignment wrapText="1"/>
    </xf>
    <xf numFmtId="0" fontId="1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4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9" fillId="2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vertical="center" wrapText="1"/>
    </xf>
    <xf numFmtId="3" fontId="12" fillId="0" borderId="2" xfId="0" applyNumberFormat="1" applyFont="1" applyBorder="1" applyAlignment="1">
      <alignment horizontal="right" vertical="center" wrapText="1"/>
    </xf>
    <xf numFmtId="0" fontId="12" fillId="0" borderId="2" xfId="0" applyFont="1" applyBorder="1" applyAlignment="1">
      <alignment vertical="center"/>
    </xf>
    <xf numFmtId="0" fontId="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16" fillId="2" borderId="2" xfId="0" applyFont="1" applyFill="1" applyBorder="1" applyAlignment="1">
      <alignment wrapText="1"/>
    </xf>
    <xf numFmtId="0" fontId="9" fillId="2" borderId="2" xfId="0" applyFont="1" applyFill="1" applyBorder="1"/>
    <xf numFmtId="0" fontId="10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0" fillId="0" borderId="2" xfId="0" applyFont="1" applyBorder="1" applyAlignment="1">
      <alignment vertical="center" wrapText="1"/>
    </xf>
    <xf numFmtId="0" fontId="17" fillId="2" borderId="2" xfId="0" applyFont="1" applyFill="1" applyBorder="1" applyAlignment="1">
      <alignment wrapText="1"/>
    </xf>
    <xf numFmtId="0" fontId="0" fillId="4" borderId="2" xfId="0" applyFill="1" applyBorder="1"/>
    <xf numFmtId="0" fontId="3" fillId="4" borderId="2" xfId="0" applyFont="1" applyFill="1" applyBorder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wrapText="1"/>
    </xf>
    <xf numFmtId="0" fontId="10" fillId="4" borderId="2" xfId="0" applyFont="1" applyFill="1" applyBorder="1" applyAlignment="1">
      <alignment vertical="center" wrapText="1"/>
    </xf>
    <xf numFmtId="0" fontId="18" fillId="3" borderId="3" xfId="0" applyFont="1" applyFill="1" applyBorder="1"/>
    <xf numFmtId="43" fontId="20" fillId="5" borderId="2" xfId="1" applyFont="1" applyFill="1" applyBorder="1" applyAlignment="1">
      <alignment horizontal="center" wrapText="1"/>
    </xf>
    <xf numFmtId="43" fontId="3" fillId="0" borderId="2" xfId="1" applyFont="1" applyBorder="1" applyAlignment="1">
      <alignment horizontal="center" wrapText="1"/>
    </xf>
    <xf numFmtId="43" fontId="3" fillId="0" borderId="1" xfId="1" applyFont="1" applyBorder="1" applyAlignment="1">
      <alignment horizontal="center" wrapText="1"/>
    </xf>
    <xf numFmtId="43" fontId="0" fillId="0" borderId="1" xfId="1" applyFont="1" applyBorder="1" applyAlignment="1">
      <alignment horizontal="center"/>
    </xf>
    <xf numFmtId="0" fontId="1" fillId="4" borderId="2" xfId="0" applyFont="1" applyFill="1" applyBorder="1"/>
    <xf numFmtId="43" fontId="20" fillId="5" borderId="2" xfId="1" applyFont="1" applyFill="1" applyBorder="1" applyAlignment="1">
      <alignment horizontal="center" vertical="center" wrapText="1"/>
    </xf>
    <xf numFmtId="43" fontId="21" fillId="0" borderId="2" xfId="1" applyFont="1" applyBorder="1" applyAlignment="1">
      <alignment horizontal="center" wrapText="1"/>
    </xf>
    <xf numFmtId="43" fontId="0" fillId="0" borderId="2" xfId="0" applyNumberFormat="1" applyBorder="1"/>
    <xf numFmtId="0" fontId="22" fillId="5" borderId="2" xfId="0" applyFont="1" applyFill="1" applyBorder="1" applyAlignment="1">
      <alignment horizontal="center"/>
    </xf>
    <xf numFmtId="0" fontId="22" fillId="5" borderId="2" xfId="0" applyFont="1" applyFill="1" applyBorder="1"/>
    <xf numFmtId="43" fontId="9" fillId="0" borderId="2" xfId="0" applyNumberFormat="1" applyFont="1" applyBorder="1"/>
    <xf numFmtId="0" fontId="18" fillId="3" borderId="2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yeCO2/Part2_GHG/GHG%20protocol/tool_sector/tool/calculator_too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Boundary Questions"/>
      <sheetName val="Summary"/>
      <sheetName val="Stationary Combustion"/>
      <sheetName val="Mobile Sources"/>
      <sheetName val="Refrigeration and AC"/>
      <sheetName val="Fire Suppression"/>
      <sheetName val="Purchased Gases"/>
      <sheetName val="Electricity"/>
      <sheetName val="Steam"/>
      <sheetName val="Business Travel"/>
      <sheetName val="Commuting"/>
      <sheetName val="Upstream Trans and Dist"/>
      <sheetName val="Waste"/>
      <sheetName val="Offsets"/>
      <sheetName val="Unit Conversions"/>
      <sheetName val="Heat Content"/>
      <sheetName val="Emission Factors"/>
      <sheetName val="DropDown"/>
      <sheetName val="Help - Data Management"/>
      <sheetName val="Help - Stationary Combustion"/>
      <sheetName val="Help - Mobile Sources"/>
      <sheetName val="Help - Refrigeration and AC"/>
      <sheetName val="Help - Fire Suppression"/>
      <sheetName val="Help - Purchased Gases"/>
      <sheetName val="Help - Electricity"/>
      <sheetName val="Help - Market-Based Method"/>
      <sheetName val="Help - Steam"/>
      <sheetName val="Help - Business Travel"/>
      <sheetName val="Help - Commuting"/>
      <sheetName val="Help - Upstream Trans and Dist"/>
      <sheetName val="Help - Waste"/>
      <sheetName val="Help - Offse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workbookViewId="0">
      <selection activeCell="D12" sqref="D12"/>
    </sheetView>
  </sheetViews>
  <sheetFormatPr defaultRowHeight="14.4" x14ac:dyDescent="0.3"/>
  <cols>
    <col min="2" max="2" width="8.77734375" style="21" customWidth="1"/>
    <col min="3" max="3" width="19.77734375" bestFit="1" customWidth="1"/>
    <col min="4" max="4" width="26.88671875" bestFit="1" customWidth="1"/>
  </cols>
  <sheetData>
    <row r="2" spans="2:4" x14ac:dyDescent="0.3">
      <c r="B2" s="51" t="s">
        <v>0</v>
      </c>
      <c r="C2" s="52" t="s">
        <v>1</v>
      </c>
      <c r="D2" s="52" t="s">
        <v>2</v>
      </c>
    </row>
    <row r="3" spans="2:4" x14ac:dyDescent="0.3">
      <c r="B3" s="20">
        <v>1</v>
      </c>
      <c r="C3" s="11" t="s">
        <v>3</v>
      </c>
      <c r="D3" s="50">
        <f>'Material use'!E16</f>
        <v>0</v>
      </c>
    </row>
    <row r="4" spans="2:4" x14ac:dyDescent="0.3">
      <c r="B4" s="20">
        <v>2</v>
      </c>
      <c r="C4" s="11" t="s">
        <v>4</v>
      </c>
      <c r="D4" s="50">
        <f>'Upstream TD'!E21</f>
        <v>0</v>
      </c>
    </row>
    <row r="5" spans="2:4" x14ac:dyDescent="0.3">
      <c r="B5" s="20">
        <v>3</v>
      </c>
      <c r="C5" s="11" t="s">
        <v>5</v>
      </c>
      <c r="D5" s="50">
        <f>'Waste disposal'!E16</f>
        <v>0</v>
      </c>
    </row>
    <row r="6" spans="2:4" x14ac:dyDescent="0.3">
      <c r="B6" s="20">
        <v>4</v>
      </c>
      <c r="C6" s="11" t="s">
        <v>6</v>
      </c>
      <c r="D6" s="50">
        <f>'Business travel'!E21</f>
        <v>0</v>
      </c>
    </row>
    <row r="7" spans="2:4" x14ac:dyDescent="0.3">
      <c r="B7" s="20">
        <v>5</v>
      </c>
      <c r="C7" s="11" t="s">
        <v>7</v>
      </c>
      <c r="D7" s="50">
        <f>'Employees commuting'!E21</f>
        <v>0</v>
      </c>
    </row>
    <row r="8" spans="2:4" x14ac:dyDescent="0.3">
      <c r="B8" s="20">
        <v>6</v>
      </c>
      <c r="C8" s="11" t="s">
        <v>8</v>
      </c>
      <c r="D8" s="50">
        <f>'Wast Water'!E4</f>
        <v>0</v>
      </c>
    </row>
    <row r="9" spans="2:4" x14ac:dyDescent="0.3">
      <c r="B9" s="54" t="s">
        <v>2</v>
      </c>
      <c r="C9" s="54"/>
      <c r="D9" s="53">
        <f>SUM(D3:D8)</f>
        <v>0</v>
      </c>
    </row>
  </sheetData>
  <mergeCells count="1">
    <mergeCell ref="B9:C9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56"/>
  <sheetViews>
    <sheetView workbookViewId="0">
      <selection activeCell="G14" sqref="G14"/>
    </sheetView>
  </sheetViews>
  <sheetFormatPr defaultColWidth="14.44140625" defaultRowHeight="15" customHeight="1" x14ac:dyDescent="0.3"/>
  <cols>
    <col min="1" max="1" width="5.77734375" style="23" customWidth="1"/>
    <col min="2" max="2" width="27.77734375" style="2" customWidth="1"/>
    <col min="3" max="3" width="17.44140625" style="17" customWidth="1"/>
    <col min="4" max="4" width="21.77734375" style="2" customWidth="1"/>
    <col min="5" max="5" width="30" style="46" customWidth="1"/>
    <col min="6" max="24" width="8.77734375" style="2" customWidth="1"/>
    <col min="25" max="25" width="14.44140625" style="2" customWidth="1"/>
    <col min="26" max="16384" width="14.44140625" style="2"/>
  </cols>
  <sheetData>
    <row r="1" spans="1:24" ht="14.25" customHeight="1" x14ac:dyDescent="0.3">
      <c r="A1" s="22" t="s">
        <v>9</v>
      </c>
      <c r="B1" s="13" t="s">
        <v>10</v>
      </c>
      <c r="C1" s="13" t="s">
        <v>11</v>
      </c>
      <c r="D1" s="14" t="s">
        <v>12</v>
      </c>
      <c r="E1" s="43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3">
      <c r="A2" s="20">
        <v>1</v>
      </c>
      <c r="B2" s="12" t="s">
        <v>13</v>
      </c>
      <c r="C2" s="15">
        <v>854344</v>
      </c>
      <c r="D2" s="38"/>
      <c r="E2" s="44">
        <f>D2*C2</f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4.25" customHeight="1" x14ac:dyDescent="0.3">
      <c r="A3" s="20">
        <v>2</v>
      </c>
      <c r="B3" s="12" t="s">
        <v>14</v>
      </c>
      <c r="C3" s="15">
        <v>4449759</v>
      </c>
      <c r="D3" s="38"/>
      <c r="E3" s="44">
        <f t="shared" ref="E3:E15" si="0">D3*C3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4.25" customHeight="1" x14ac:dyDescent="0.3">
      <c r="A4" s="20">
        <v>3</v>
      </c>
      <c r="B4" s="12" t="s">
        <v>15</v>
      </c>
      <c r="C4" s="15">
        <v>4581763</v>
      </c>
      <c r="D4" s="38"/>
      <c r="E4" s="44">
        <f t="shared" si="0"/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4.25" customHeight="1" x14ac:dyDescent="0.3">
      <c r="A5" s="20">
        <v>4</v>
      </c>
      <c r="B5" s="12" t="s">
        <v>16</v>
      </c>
      <c r="C5" s="15">
        <v>12489</v>
      </c>
      <c r="D5" s="38"/>
      <c r="E5" s="44">
        <f t="shared" si="0"/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4.25" customHeight="1" x14ac:dyDescent="0.3">
      <c r="A6" s="20">
        <v>5</v>
      </c>
      <c r="B6" s="12" t="s">
        <v>17</v>
      </c>
      <c r="C6" s="15">
        <v>89344</v>
      </c>
      <c r="D6" s="38"/>
      <c r="E6" s="44">
        <f t="shared" si="0"/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4.25" customHeight="1" x14ac:dyDescent="0.3">
      <c r="A7" s="20">
        <v>6</v>
      </c>
      <c r="B7" s="12" t="s">
        <v>18</v>
      </c>
      <c r="C7" s="15">
        <v>4373719</v>
      </c>
      <c r="D7" s="38"/>
      <c r="E7" s="44">
        <f t="shared" si="0"/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4.25" customHeight="1" x14ac:dyDescent="0.3">
      <c r="A8" s="20">
        <v>7</v>
      </c>
      <c r="B8" s="12" t="s">
        <v>19</v>
      </c>
      <c r="C8" s="15">
        <v>89344</v>
      </c>
      <c r="D8" s="38"/>
      <c r="E8" s="44">
        <f t="shared" si="0"/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4.25" customHeight="1" x14ac:dyDescent="0.3">
      <c r="A9" s="20">
        <v>8</v>
      </c>
      <c r="B9" s="12" t="s">
        <v>20</v>
      </c>
      <c r="C9" s="15">
        <v>6269073</v>
      </c>
      <c r="D9" s="38"/>
      <c r="E9" s="44">
        <f t="shared" si="0"/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4.25" customHeight="1" x14ac:dyDescent="0.3">
      <c r="A10" s="20">
        <v>9</v>
      </c>
      <c r="B10" s="12" t="s">
        <v>21</v>
      </c>
      <c r="C10" s="15">
        <v>10418361</v>
      </c>
      <c r="D10" s="38"/>
      <c r="E10" s="44">
        <f t="shared" si="0"/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4.25" customHeight="1" x14ac:dyDescent="0.3">
      <c r="A11" s="20">
        <v>10</v>
      </c>
      <c r="B11" s="12" t="s">
        <v>22</v>
      </c>
      <c r="C11" s="15">
        <v>89344</v>
      </c>
      <c r="D11" s="38"/>
      <c r="E11" s="44">
        <f t="shared" si="0"/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4.25" customHeight="1" x14ac:dyDescent="0.3">
      <c r="A12" s="20">
        <v>11</v>
      </c>
      <c r="B12" s="12" t="s">
        <v>23</v>
      </c>
      <c r="C12" s="15">
        <v>89344</v>
      </c>
      <c r="D12" s="38"/>
      <c r="E12" s="44">
        <f t="shared" si="0"/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4.25" customHeight="1" x14ac:dyDescent="0.3">
      <c r="A13" s="20">
        <v>12</v>
      </c>
      <c r="B13" s="12" t="s">
        <v>24</v>
      </c>
      <c r="C13" s="15">
        <v>89344</v>
      </c>
      <c r="D13" s="38"/>
      <c r="E13" s="44">
        <f t="shared" si="0"/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4.25" customHeight="1" x14ac:dyDescent="0.3">
      <c r="A14" s="20">
        <v>13</v>
      </c>
      <c r="B14" s="12" t="s">
        <v>25</v>
      </c>
      <c r="C14" s="15">
        <v>89344</v>
      </c>
      <c r="D14" s="38"/>
      <c r="E14" s="44">
        <f t="shared" si="0"/>
        <v>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4.25" customHeight="1" x14ac:dyDescent="0.3">
      <c r="A15" s="20">
        <v>14</v>
      </c>
      <c r="B15" s="12" t="s">
        <v>26</v>
      </c>
      <c r="C15" s="15">
        <v>89344</v>
      </c>
      <c r="D15" s="38"/>
      <c r="E15" s="44">
        <f t="shared" si="0"/>
        <v>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2.5" customHeight="1" x14ac:dyDescent="0.4">
      <c r="A16" s="42"/>
      <c r="B16" s="55" t="s">
        <v>27</v>
      </c>
      <c r="C16" s="55"/>
      <c r="D16" s="55"/>
      <c r="E16" s="49">
        <f>SUM(E2:E15)</f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4.25" customHeight="1" x14ac:dyDescent="0.3">
      <c r="A17" s="24"/>
      <c r="B17" s="1"/>
      <c r="C17" s="16"/>
      <c r="D17" s="1"/>
      <c r="E17" s="4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4" ht="14.25" customHeight="1" x14ac:dyDescent="0.3">
      <c r="A18" s="24"/>
      <c r="B18" s="1"/>
      <c r="C18" s="16"/>
      <c r="D18" s="1"/>
      <c r="E18" s="4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4" ht="14.25" customHeight="1" x14ac:dyDescent="0.3">
      <c r="A19" s="24"/>
      <c r="B19" s="1"/>
      <c r="C19" s="16"/>
      <c r="D19" s="1"/>
      <c r="E19" s="4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4" ht="14.25" customHeight="1" x14ac:dyDescent="0.3">
      <c r="A20" s="24"/>
      <c r="B20" s="1"/>
      <c r="C20" s="16"/>
      <c r="D20" s="1"/>
      <c r="E20" s="4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4" ht="14.25" customHeight="1" x14ac:dyDescent="0.3">
      <c r="A21" s="24"/>
      <c r="B21" s="1"/>
      <c r="C21" s="16"/>
      <c r="D21" s="1"/>
      <c r="E21" s="4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4" ht="14.25" customHeight="1" x14ac:dyDescent="0.3">
      <c r="A22" s="24"/>
      <c r="B22" s="1"/>
      <c r="C22" s="16"/>
      <c r="D22" s="1"/>
      <c r="E22" s="4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4" ht="14.25" customHeight="1" x14ac:dyDescent="0.3">
      <c r="A23" s="24"/>
      <c r="B23" s="1"/>
      <c r="C23" s="16"/>
      <c r="D23" s="1"/>
      <c r="E23" s="4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4" ht="14.25" customHeight="1" x14ac:dyDescent="0.3">
      <c r="A24" s="24"/>
      <c r="B24" s="1"/>
      <c r="C24" s="16"/>
      <c r="D24" s="1"/>
      <c r="E24" s="4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4" ht="14.25" customHeight="1" x14ac:dyDescent="0.3">
      <c r="A25" s="24"/>
      <c r="B25" s="1"/>
      <c r="C25" s="16"/>
      <c r="D25" s="1"/>
      <c r="E25" s="4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4" ht="14.25" customHeight="1" x14ac:dyDescent="0.3">
      <c r="A26" s="24"/>
      <c r="B26" s="1"/>
      <c r="C26" s="16"/>
      <c r="D26" s="1"/>
      <c r="E26" s="4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4" ht="14.25" customHeight="1" x14ac:dyDescent="0.3">
      <c r="A27" s="24"/>
      <c r="B27" s="1"/>
      <c r="C27" s="16"/>
      <c r="D27" s="1"/>
      <c r="E27" s="4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4" ht="14.25" customHeight="1" x14ac:dyDescent="0.3">
      <c r="B28" s="1"/>
      <c r="C28" s="16"/>
      <c r="D28" s="1"/>
      <c r="E28" s="4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4.25" customHeight="1" x14ac:dyDescent="0.3">
      <c r="B29" s="1"/>
      <c r="C29" s="16"/>
      <c r="D29" s="1"/>
      <c r="E29" s="4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4.25" customHeight="1" x14ac:dyDescent="0.3">
      <c r="B30" s="1"/>
      <c r="C30" s="16"/>
      <c r="D30" s="1"/>
      <c r="E30" s="4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4.25" customHeight="1" x14ac:dyDescent="0.3">
      <c r="B31" s="1"/>
      <c r="C31" s="16"/>
      <c r="D31" s="1"/>
      <c r="E31" s="4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4.25" customHeight="1" x14ac:dyDescent="0.3">
      <c r="B32" s="1"/>
      <c r="C32" s="16"/>
      <c r="D32" s="1"/>
      <c r="E32" s="4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2:24" ht="14.25" customHeight="1" x14ac:dyDescent="0.3">
      <c r="B33" s="1"/>
      <c r="C33" s="16"/>
      <c r="D33" s="1"/>
      <c r="E33" s="4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2:24" ht="14.25" customHeight="1" x14ac:dyDescent="0.3">
      <c r="B34" s="1"/>
      <c r="C34" s="16"/>
      <c r="D34" s="1"/>
      <c r="E34" s="4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2:24" ht="14.25" customHeight="1" x14ac:dyDescent="0.3">
      <c r="B35" s="1"/>
      <c r="C35" s="16"/>
      <c r="D35" s="1"/>
      <c r="E35" s="4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2:24" ht="14.25" customHeight="1" x14ac:dyDescent="0.3">
      <c r="B36" s="1"/>
      <c r="C36" s="16"/>
      <c r="D36" s="1"/>
      <c r="E36" s="4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2:24" ht="14.25" customHeight="1" x14ac:dyDescent="0.3">
      <c r="B37" s="1"/>
      <c r="C37" s="16"/>
      <c r="D37" s="1"/>
      <c r="E37" s="4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2:24" ht="14.25" customHeight="1" x14ac:dyDescent="0.3">
      <c r="B38" s="1"/>
      <c r="C38" s="16"/>
      <c r="D38" s="1"/>
      <c r="E38" s="4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2:24" ht="14.25" customHeight="1" x14ac:dyDescent="0.3">
      <c r="B39" s="1"/>
      <c r="C39" s="16"/>
      <c r="D39" s="1"/>
      <c r="E39" s="4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2:24" ht="14.25" customHeight="1" x14ac:dyDescent="0.3">
      <c r="B40" s="1"/>
      <c r="C40" s="16"/>
      <c r="D40" s="1"/>
      <c r="E40" s="4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2:24" ht="14.25" customHeight="1" x14ac:dyDescent="0.3">
      <c r="B41" s="1"/>
      <c r="C41" s="16"/>
      <c r="D41" s="1"/>
      <c r="E41" s="4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2:24" ht="14.25" customHeight="1" x14ac:dyDescent="0.3">
      <c r="B42" s="1"/>
      <c r="C42" s="16"/>
      <c r="D42" s="1"/>
      <c r="E42" s="4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 ht="14.25" customHeight="1" x14ac:dyDescent="0.3">
      <c r="B43" s="1"/>
      <c r="C43" s="16"/>
      <c r="D43" s="1"/>
      <c r="E43" s="4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 ht="14.25" customHeight="1" x14ac:dyDescent="0.3">
      <c r="B44" s="1"/>
      <c r="C44" s="16"/>
      <c r="D44" s="1"/>
      <c r="E44" s="4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 ht="14.25" customHeight="1" x14ac:dyDescent="0.3">
      <c r="B45" s="1"/>
      <c r="C45" s="16"/>
      <c r="D45" s="1"/>
      <c r="E45" s="4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 ht="14.25" customHeight="1" x14ac:dyDescent="0.3">
      <c r="B46" s="1"/>
      <c r="C46" s="16"/>
      <c r="D46" s="1"/>
      <c r="E46" s="4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2:24" ht="14.25" customHeight="1" x14ac:dyDescent="0.3">
      <c r="B47" s="1"/>
      <c r="C47" s="16"/>
      <c r="D47" s="1"/>
      <c r="E47" s="4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2:24" ht="14.25" customHeight="1" x14ac:dyDescent="0.3">
      <c r="B48" s="1"/>
      <c r="C48" s="16"/>
      <c r="D48" s="1"/>
      <c r="E48" s="4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2:24" ht="14.25" customHeight="1" x14ac:dyDescent="0.3">
      <c r="B49" s="1"/>
      <c r="C49" s="16"/>
      <c r="D49" s="1"/>
      <c r="E49" s="4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2:24" ht="14.25" customHeight="1" x14ac:dyDescent="0.3">
      <c r="B50" s="1"/>
      <c r="C50" s="16"/>
      <c r="D50" s="1"/>
      <c r="E50" s="4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2:24" ht="14.25" customHeight="1" x14ac:dyDescent="0.3">
      <c r="B51" s="1"/>
      <c r="C51" s="16"/>
      <c r="D51" s="1"/>
      <c r="E51" s="4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2:24" ht="14.25" customHeight="1" x14ac:dyDescent="0.3">
      <c r="B52" s="1"/>
      <c r="C52" s="16"/>
      <c r="D52" s="1"/>
      <c r="E52" s="4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2:24" ht="14.25" customHeight="1" x14ac:dyDescent="0.3">
      <c r="B53" s="1"/>
      <c r="C53" s="16"/>
      <c r="D53" s="1"/>
      <c r="E53" s="4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2:24" ht="14.25" customHeight="1" x14ac:dyDescent="0.3">
      <c r="B54" s="1"/>
      <c r="C54" s="16"/>
      <c r="D54" s="1"/>
      <c r="E54" s="4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2:24" ht="14.25" customHeight="1" x14ac:dyDescent="0.3">
      <c r="B55" s="1"/>
      <c r="C55" s="16"/>
      <c r="D55" s="1"/>
      <c r="E55" s="4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2:24" ht="14.25" customHeight="1" x14ac:dyDescent="0.3">
      <c r="B56" s="1"/>
      <c r="C56" s="16"/>
      <c r="D56" s="1"/>
      <c r="E56" s="4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2:24" ht="14.25" customHeight="1" x14ac:dyDescent="0.3">
      <c r="B57" s="1"/>
      <c r="C57" s="16"/>
      <c r="D57" s="1"/>
      <c r="E57" s="4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2:24" ht="14.25" customHeight="1" x14ac:dyDescent="0.3">
      <c r="B58" s="1"/>
      <c r="C58" s="16"/>
      <c r="D58" s="1"/>
      <c r="E58" s="4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2:24" ht="14.25" customHeight="1" x14ac:dyDescent="0.3">
      <c r="B59" s="1"/>
      <c r="C59" s="16"/>
      <c r="D59" s="1"/>
      <c r="E59" s="4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2:24" ht="14.25" customHeight="1" x14ac:dyDescent="0.3">
      <c r="B60" s="1"/>
      <c r="C60" s="16"/>
      <c r="D60" s="1"/>
      <c r="E60" s="4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2:24" ht="14.25" customHeight="1" x14ac:dyDescent="0.3">
      <c r="B61" s="1"/>
      <c r="C61" s="16"/>
      <c r="D61" s="1"/>
      <c r="E61" s="4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2:24" ht="14.25" customHeight="1" x14ac:dyDescent="0.3">
      <c r="B62" s="1"/>
      <c r="C62" s="16"/>
      <c r="D62" s="1"/>
      <c r="E62" s="4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2:24" ht="14.25" customHeight="1" x14ac:dyDescent="0.3">
      <c r="B63" s="1"/>
      <c r="C63" s="16"/>
      <c r="D63" s="1"/>
      <c r="E63" s="4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ht="14.25" customHeight="1" x14ac:dyDescent="0.3">
      <c r="B64" s="1"/>
      <c r="C64" s="16"/>
      <c r="D64" s="1"/>
      <c r="E64" s="4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2:24" ht="14.25" customHeight="1" x14ac:dyDescent="0.3">
      <c r="B65" s="1"/>
      <c r="C65" s="16"/>
      <c r="D65" s="1"/>
      <c r="E65" s="4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2:24" ht="14.25" customHeight="1" x14ac:dyDescent="0.3">
      <c r="B66" s="1"/>
      <c r="C66" s="16"/>
      <c r="D66" s="1"/>
      <c r="E66" s="4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2:24" ht="14.25" customHeight="1" x14ac:dyDescent="0.3">
      <c r="B67" s="1"/>
      <c r="C67" s="16"/>
      <c r="D67" s="1"/>
      <c r="E67" s="4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2:24" ht="14.25" customHeight="1" x14ac:dyDescent="0.3">
      <c r="B68" s="1"/>
      <c r="C68" s="16"/>
      <c r="D68" s="1"/>
      <c r="E68" s="4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2:24" ht="14.25" customHeight="1" x14ac:dyDescent="0.3">
      <c r="B69" s="1"/>
      <c r="C69" s="16"/>
      <c r="D69" s="1"/>
      <c r="E69" s="4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2:24" ht="14.25" customHeight="1" x14ac:dyDescent="0.3">
      <c r="B70" s="1"/>
      <c r="C70" s="16"/>
      <c r="D70" s="1"/>
      <c r="E70" s="4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2:24" ht="14.25" customHeight="1" x14ac:dyDescent="0.3">
      <c r="B71" s="1"/>
      <c r="C71" s="16"/>
      <c r="D71" s="1"/>
      <c r="E71" s="4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2:24" ht="14.25" customHeight="1" x14ac:dyDescent="0.3">
      <c r="B72" s="1"/>
      <c r="C72" s="16"/>
      <c r="D72" s="1"/>
      <c r="E72" s="4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2:24" ht="14.25" customHeight="1" x14ac:dyDescent="0.3">
      <c r="B73" s="1"/>
      <c r="C73" s="16"/>
      <c r="D73" s="1"/>
      <c r="E73" s="4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2:24" ht="14.25" customHeight="1" x14ac:dyDescent="0.3">
      <c r="B74" s="1"/>
      <c r="C74" s="16"/>
      <c r="D74" s="1"/>
      <c r="E74" s="4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2:24" ht="14.25" customHeight="1" x14ac:dyDescent="0.3">
      <c r="B75" s="1"/>
      <c r="C75" s="16"/>
      <c r="D75" s="1"/>
      <c r="E75" s="4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2:24" ht="14.25" customHeight="1" x14ac:dyDescent="0.3">
      <c r="B76" s="1"/>
      <c r="C76" s="16"/>
      <c r="D76" s="1"/>
      <c r="E76" s="4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2:24" ht="14.25" customHeight="1" x14ac:dyDescent="0.3">
      <c r="B77" s="1"/>
      <c r="C77" s="16"/>
      <c r="D77" s="1"/>
      <c r="E77" s="4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2:24" ht="14.25" customHeight="1" x14ac:dyDescent="0.3">
      <c r="B78" s="1"/>
      <c r="C78" s="16"/>
      <c r="D78" s="1"/>
      <c r="E78" s="4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2:24" ht="14.25" customHeight="1" x14ac:dyDescent="0.3">
      <c r="B79" s="1"/>
      <c r="C79" s="16"/>
      <c r="D79" s="1"/>
      <c r="E79" s="4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2:24" ht="14.25" customHeight="1" x14ac:dyDescent="0.3">
      <c r="B80" s="1"/>
      <c r="C80" s="16"/>
      <c r="D80" s="1"/>
      <c r="E80" s="4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2:24" ht="14.25" customHeight="1" x14ac:dyDescent="0.3">
      <c r="B81" s="1"/>
      <c r="C81" s="16"/>
      <c r="D81" s="1"/>
      <c r="E81" s="4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2:24" ht="14.25" customHeight="1" x14ac:dyDescent="0.3">
      <c r="B82" s="1"/>
      <c r="C82" s="16"/>
      <c r="D82" s="1"/>
      <c r="E82" s="4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2:24" ht="14.25" customHeight="1" x14ac:dyDescent="0.3">
      <c r="B83" s="1"/>
      <c r="C83" s="16"/>
      <c r="D83" s="1"/>
      <c r="E83" s="4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2:24" ht="14.25" customHeight="1" x14ac:dyDescent="0.3">
      <c r="B84" s="1"/>
      <c r="C84" s="16"/>
      <c r="D84" s="1"/>
      <c r="E84" s="4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2:24" ht="14.25" customHeight="1" x14ac:dyDescent="0.3">
      <c r="B85" s="1"/>
      <c r="C85" s="16"/>
      <c r="D85" s="1"/>
      <c r="E85" s="4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2:24" ht="14.25" customHeight="1" x14ac:dyDescent="0.3">
      <c r="B86" s="1"/>
      <c r="C86" s="16"/>
      <c r="D86" s="1"/>
      <c r="E86" s="4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2:24" ht="14.25" customHeight="1" x14ac:dyDescent="0.3">
      <c r="B87" s="1"/>
      <c r="C87" s="16"/>
      <c r="D87" s="1"/>
      <c r="E87" s="4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2:24" ht="14.25" customHeight="1" x14ac:dyDescent="0.3">
      <c r="B88" s="1"/>
      <c r="C88" s="16"/>
      <c r="D88" s="1"/>
      <c r="E88" s="4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2:24" ht="14.25" customHeight="1" x14ac:dyDescent="0.3">
      <c r="B89" s="1"/>
      <c r="C89" s="16"/>
      <c r="D89" s="1"/>
      <c r="E89" s="4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2:24" ht="14.25" customHeight="1" x14ac:dyDescent="0.3">
      <c r="B90" s="1"/>
      <c r="C90" s="16"/>
      <c r="D90" s="1"/>
      <c r="E90" s="4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2:24" ht="14.25" customHeight="1" x14ac:dyDescent="0.3">
      <c r="B91" s="1"/>
      <c r="C91" s="16"/>
      <c r="D91" s="1"/>
      <c r="E91" s="4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2:24" ht="14.25" customHeight="1" x14ac:dyDescent="0.3">
      <c r="B92" s="1"/>
      <c r="C92" s="16"/>
      <c r="D92" s="1"/>
      <c r="E92" s="4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2:24" ht="14.25" customHeight="1" x14ac:dyDescent="0.3">
      <c r="B93" s="1"/>
      <c r="C93" s="16"/>
      <c r="D93" s="1"/>
      <c r="E93" s="4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2:24" ht="14.25" customHeight="1" x14ac:dyDescent="0.3">
      <c r="B94" s="1"/>
      <c r="C94" s="16"/>
      <c r="D94" s="1"/>
      <c r="E94" s="4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2:24" ht="14.25" customHeight="1" x14ac:dyDescent="0.3">
      <c r="B95" s="1"/>
      <c r="C95" s="16"/>
      <c r="D95" s="1"/>
      <c r="E95" s="4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2:24" ht="14.25" customHeight="1" x14ac:dyDescent="0.3">
      <c r="B96" s="1"/>
      <c r="C96" s="16"/>
      <c r="D96" s="1"/>
      <c r="E96" s="4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2:24" ht="14.25" customHeight="1" x14ac:dyDescent="0.3">
      <c r="B97" s="1"/>
      <c r="C97" s="16"/>
      <c r="D97" s="1"/>
      <c r="E97" s="4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2:24" ht="14.25" customHeight="1" x14ac:dyDescent="0.3">
      <c r="B98" s="1"/>
      <c r="C98" s="16"/>
      <c r="D98" s="1"/>
      <c r="E98" s="4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2:24" ht="14.25" customHeight="1" x14ac:dyDescent="0.3">
      <c r="B99" s="1"/>
      <c r="C99" s="16"/>
      <c r="D99" s="1"/>
      <c r="E99" s="4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2:24" ht="14.25" customHeight="1" x14ac:dyDescent="0.3">
      <c r="B100" s="1"/>
      <c r="C100" s="16"/>
      <c r="D100" s="1"/>
      <c r="E100" s="4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2:24" ht="14.25" customHeight="1" x14ac:dyDescent="0.3">
      <c r="B101" s="1"/>
      <c r="C101" s="16"/>
      <c r="D101" s="1"/>
      <c r="E101" s="4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2:24" ht="14.25" customHeight="1" x14ac:dyDescent="0.3">
      <c r="B102" s="1"/>
      <c r="C102" s="16"/>
      <c r="D102" s="1"/>
      <c r="E102" s="4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2:24" ht="14.25" customHeight="1" x14ac:dyDescent="0.3">
      <c r="B103" s="1"/>
      <c r="C103" s="16"/>
      <c r="D103" s="1"/>
      <c r="E103" s="4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2:24" ht="14.25" customHeight="1" x14ac:dyDescent="0.3">
      <c r="B104" s="1"/>
      <c r="C104" s="16"/>
      <c r="D104" s="1"/>
      <c r="E104" s="4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2:24" ht="14.25" customHeight="1" x14ac:dyDescent="0.3">
      <c r="B105" s="1"/>
      <c r="C105" s="16"/>
      <c r="D105" s="1"/>
      <c r="E105" s="4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2:24" ht="14.25" customHeight="1" x14ac:dyDescent="0.3">
      <c r="B106" s="1"/>
      <c r="C106" s="16"/>
      <c r="D106" s="1"/>
      <c r="E106" s="4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2:24" ht="14.25" customHeight="1" x14ac:dyDescent="0.3">
      <c r="B107" s="1"/>
      <c r="C107" s="16"/>
      <c r="D107" s="1"/>
      <c r="E107" s="4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2:24" ht="14.25" customHeight="1" x14ac:dyDescent="0.3">
      <c r="B108" s="1"/>
      <c r="C108" s="16"/>
      <c r="D108" s="1"/>
      <c r="E108" s="4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2:24" ht="14.25" customHeight="1" x14ac:dyDescent="0.3">
      <c r="B109" s="1"/>
      <c r="C109" s="16"/>
      <c r="D109" s="1"/>
      <c r="E109" s="4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2:24" ht="14.25" customHeight="1" x14ac:dyDescent="0.3">
      <c r="B110" s="1"/>
      <c r="C110" s="16"/>
      <c r="D110" s="1"/>
      <c r="E110" s="4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2:24" ht="14.25" customHeight="1" x14ac:dyDescent="0.3">
      <c r="B111" s="1"/>
      <c r="C111" s="16"/>
      <c r="D111" s="1"/>
      <c r="E111" s="4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2:24" ht="14.25" customHeight="1" x14ac:dyDescent="0.3">
      <c r="B112" s="1"/>
      <c r="C112" s="16"/>
      <c r="D112" s="1"/>
      <c r="E112" s="4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2:24" ht="14.25" customHeight="1" x14ac:dyDescent="0.3">
      <c r="B113" s="1"/>
      <c r="C113" s="16"/>
      <c r="D113" s="1"/>
      <c r="E113" s="4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2:24" ht="14.25" customHeight="1" x14ac:dyDescent="0.3">
      <c r="B114" s="1"/>
      <c r="C114" s="16"/>
      <c r="D114" s="1"/>
      <c r="E114" s="4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2:24" ht="14.25" customHeight="1" x14ac:dyDescent="0.3">
      <c r="B115" s="1"/>
      <c r="C115" s="16"/>
      <c r="D115" s="1"/>
      <c r="E115" s="4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2:24" ht="14.25" customHeight="1" x14ac:dyDescent="0.3">
      <c r="B116" s="1"/>
      <c r="C116" s="16"/>
      <c r="D116" s="1"/>
      <c r="E116" s="4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2:24" ht="14.25" customHeight="1" x14ac:dyDescent="0.3">
      <c r="B117" s="1"/>
      <c r="C117" s="16"/>
      <c r="D117" s="1"/>
      <c r="E117" s="4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2:24" ht="14.25" customHeight="1" x14ac:dyDescent="0.3">
      <c r="B118" s="1"/>
      <c r="C118" s="16"/>
      <c r="D118" s="1"/>
      <c r="E118" s="4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2:24" ht="14.25" customHeight="1" x14ac:dyDescent="0.3">
      <c r="B119" s="1"/>
      <c r="C119" s="16"/>
      <c r="D119" s="1"/>
      <c r="E119" s="4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2:24" ht="14.25" customHeight="1" x14ac:dyDescent="0.3">
      <c r="B120" s="1"/>
      <c r="C120" s="16"/>
      <c r="D120" s="1"/>
      <c r="E120" s="4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2:24" ht="14.25" customHeight="1" x14ac:dyDescent="0.3">
      <c r="B121" s="1"/>
      <c r="C121" s="16"/>
      <c r="D121" s="1"/>
      <c r="E121" s="4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2:24" ht="14.25" customHeight="1" x14ac:dyDescent="0.3">
      <c r="B122" s="1"/>
      <c r="C122" s="16"/>
      <c r="D122" s="1"/>
      <c r="E122" s="4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2:24" ht="14.25" customHeight="1" x14ac:dyDescent="0.3">
      <c r="B123" s="1"/>
      <c r="C123" s="16"/>
      <c r="D123" s="1"/>
      <c r="E123" s="4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2:24" ht="14.25" customHeight="1" x14ac:dyDescent="0.3">
      <c r="B124" s="1"/>
      <c r="C124" s="16"/>
      <c r="D124" s="1"/>
      <c r="E124" s="4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2:24" ht="14.25" customHeight="1" x14ac:dyDescent="0.3">
      <c r="B125" s="1"/>
      <c r="C125" s="16"/>
      <c r="D125" s="1"/>
      <c r="E125" s="4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2:24" ht="14.25" customHeight="1" x14ac:dyDescent="0.3">
      <c r="B126" s="1"/>
      <c r="C126" s="16"/>
      <c r="D126" s="1"/>
      <c r="E126" s="4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2:24" ht="14.25" customHeight="1" x14ac:dyDescent="0.3">
      <c r="B127" s="1"/>
      <c r="C127" s="16"/>
      <c r="D127" s="1"/>
      <c r="E127" s="4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2:24" ht="14.25" customHeight="1" x14ac:dyDescent="0.3">
      <c r="B128" s="1"/>
      <c r="C128" s="16"/>
      <c r="D128" s="1"/>
      <c r="E128" s="4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2:24" ht="14.25" customHeight="1" x14ac:dyDescent="0.3">
      <c r="B129" s="1"/>
      <c r="C129" s="16"/>
      <c r="D129" s="1"/>
      <c r="E129" s="4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2:24" ht="14.25" customHeight="1" x14ac:dyDescent="0.3">
      <c r="B130" s="1"/>
      <c r="C130" s="16"/>
      <c r="D130" s="1"/>
      <c r="E130" s="4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2:24" ht="14.25" customHeight="1" x14ac:dyDescent="0.3">
      <c r="B131" s="1"/>
      <c r="C131" s="16"/>
      <c r="D131" s="1"/>
      <c r="E131" s="4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2:24" ht="14.25" customHeight="1" x14ac:dyDescent="0.3">
      <c r="B132" s="1"/>
      <c r="C132" s="16"/>
      <c r="D132" s="1"/>
      <c r="E132" s="4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2:24" ht="14.25" customHeight="1" x14ac:dyDescent="0.3">
      <c r="B133" s="1"/>
      <c r="C133" s="16"/>
      <c r="D133" s="1"/>
      <c r="E133" s="4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2:24" ht="14.25" customHeight="1" x14ac:dyDescent="0.3">
      <c r="B134" s="1"/>
      <c r="C134" s="16"/>
      <c r="D134" s="1"/>
      <c r="E134" s="4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2:24" ht="14.25" customHeight="1" x14ac:dyDescent="0.3">
      <c r="B135" s="1"/>
      <c r="C135" s="16"/>
      <c r="D135" s="1"/>
      <c r="E135" s="4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2:24" ht="14.25" customHeight="1" x14ac:dyDescent="0.3">
      <c r="B136" s="1"/>
      <c r="C136" s="16"/>
      <c r="D136" s="1"/>
      <c r="E136" s="4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2:24" ht="14.25" customHeight="1" x14ac:dyDescent="0.3">
      <c r="B137" s="1"/>
      <c r="C137" s="16"/>
      <c r="D137" s="1"/>
      <c r="E137" s="4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2:24" ht="14.25" customHeight="1" x14ac:dyDescent="0.3">
      <c r="B138" s="1"/>
      <c r="C138" s="16"/>
      <c r="D138" s="1"/>
      <c r="E138" s="4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2:24" ht="14.25" customHeight="1" x14ac:dyDescent="0.3">
      <c r="B139" s="1"/>
      <c r="C139" s="16"/>
      <c r="D139" s="1"/>
      <c r="E139" s="4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2:24" ht="14.25" customHeight="1" x14ac:dyDescent="0.3">
      <c r="B140" s="1"/>
      <c r="C140" s="16"/>
      <c r="D140" s="1"/>
      <c r="E140" s="4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2:24" ht="14.25" customHeight="1" x14ac:dyDescent="0.3">
      <c r="B141" s="1"/>
      <c r="C141" s="16"/>
      <c r="D141" s="1"/>
      <c r="E141" s="4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2:24" ht="14.25" customHeight="1" x14ac:dyDescent="0.3">
      <c r="B142" s="1"/>
      <c r="C142" s="16"/>
      <c r="D142" s="1"/>
      <c r="E142" s="4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2:24" ht="14.25" customHeight="1" x14ac:dyDescent="0.3">
      <c r="B143" s="1"/>
      <c r="C143" s="16"/>
      <c r="D143" s="1"/>
      <c r="E143" s="4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2:24" ht="14.25" customHeight="1" x14ac:dyDescent="0.3">
      <c r="B144" s="1"/>
      <c r="C144" s="16"/>
      <c r="D144" s="1"/>
      <c r="E144" s="4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2:24" ht="14.25" customHeight="1" x14ac:dyDescent="0.3">
      <c r="B145" s="1"/>
      <c r="C145" s="16"/>
      <c r="D145" s="1"/>
      <c r="E145" s="4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2:24" ht="14.25" customHeight="1" x14ac:dyDescent="0.3">
      <c r="B146" s="1"/>
      <c r="C146" s="16"/>
      <c r="D146" s="1"/>
      <c r="E146" s="4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2:24" ht="14.25" customHeight="1" x14ac:dyDescent="0.3">
      <c r="B147" s="1"/>
      <c r="C147" s="16"/>
      <c r="D147" s="1"/>
      <c r="E147" s="4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2:24" ht="14.25" customHeight="1" x14ac:dyDescent="0.3">
      <c r="B148" s="1"/>
      <c r="C148" s="16"/>
      <c r="D148" s="1"/>
      <c r="E148" s="4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2:24" ht="14.25" customHeight="1" x14ac:dyDescent="0.3">
      <c r="B149" s="1"/>
      <c r="C149" s="16"/>
      <c r="D149" s="1"/>
      <c r="E149" s="4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2:24" ht="14.25" customHeight="1" x14ac:dyDescent="0.3">
      <c r="B150" s="1"/>
      <c r="C150" s="16"/>
      <c r="D150" s="1"/>
      <c r="E150" s="4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2:24" ht="14.25" customHeight="1" x14ac:dyDescent="0.3">
      <c r="B151" s="1"/>
      <c r="C151" s="16"/>
      <c r="D151" s="1"/>
      <c r="E151" s="4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2:24" ht="14.25" customHeight="1" x14ac:dyDescent="0.3">
      <c r="B152" s="1"/>
      <c r="C152" s="16"/>
      <c r="D152" s="1"/>
      <c r="E152" s="4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2:24" ht="14.25" customHeight="1" x14ac:dyDescent="0.3">
      <c r="B153" s="1"/>
      <c r="C153" s="16"/>
      <c r="D153" s="1"/>
      <c r="E153" s="4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2:24" ht="14.25" customHeight="1" x14ac:dyDescent="0.3">
      <c r="B154" s="1"/>
      <c r="C154" s="16"/>
      <c r="D154" s="1"/>
      <c r="E154" s="4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2:24" ht="14.25" customHeight="1" x14ac:dyDescent="0.3">
      <c r="B155" s="1"/>
      <c r="C155" s="16"/>
      <c r="D155" s="1"/>
      <c r="E155" s="4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2:24" ht="14.25" customHeight="1" x14ac:dyDescent="0.3">
      <c r="B156" s="1"/>
      <c r="C156" s="16"/>
      <c r="D156" s="1"/>
      <c r="E156" s="4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2:24" ht="14.25" customHeight="1" x14ac:dyDescent="0.3">
      <c r="B157" s="1"/>
      <c r="C157" s="16"/>
      <c r="D157" s="1"/>
      <c r="E157" s="4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2:24" ht="14.25" customHeight="1" x14ac:dyDescent="0.3">
      <c r="B158" s="1"/>
      <c r="C158" s="16"/>
      <c r="D158" s="1"/>
      <c r="E158" s="4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2:24" ht="14.25" customHeight="1" x14ac:dyDescent="0.3">
      <c r="B159" s="1"/>
      <c r="C159" s="16"/>
      <c r="D159" s="1"/>
      <c r="E159" s="4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2:24" ht="14.25" customHeight="1" x14ac:dyDescent="0.3">
      <c r="B160" s="1"/>
      <c r="C160" s="16"/>
      <c r="D160" s="1"/>
      <c r="E160" s="4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2:24" ht="14.25" customHeight="1" x14ac:dyDescent="0.3">
      <c r="B161" s="1"/>
      <c r="C161" s="16"/>
      <c r="D161" s="1"/>
      <c r="E161" s="4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2:24" ht="14.25" customHeight="1" x14ac:dyDescent="0.3">
      <c r="B162" s="1"/>
      <c r="C162" s="16"/>
      <c r="D162" s="1"/>
      <c r="E162" s="4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2:24" ht="14.25" customHeight="1" x14ac:dyDescent="0.3">
      <c r="B163" s="1"/>
      <c r="C163" s="16"/>
      <c r="D163" s="1"/>
      <c r="E163" s="4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2:24" ht="14.25" customHeight="1" x14ac:dyDescent="0.3">
      <c r="B164" s="1"/>
      <c r="C164" s="16"/>
      <c r="D164" s="1"/>
      <c r="E164" s="4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2:24" ht="14.25" customHeight="1" x14ac:dyDescent="0.3">
      <c r="B165" s="1"/>
      <c r="C165" s="16"/>
      <c r="D165" s="1"/>
      <c r="E165" s="4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2:24" ht="14.25" customHeight="1" x14ac:dyDescent="0.3">
      <c r="B166" s="1"/>
      <c r="C166" s="16"/>
      <c r="D166" s="1"/>
      <c r="E166" s="4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2:24" ht="14.25" customHeight="1" x14ac:dyDescent="0.3">
      <c r="B167" s="1"/>
      <c r="C167" s="16"/>
      <c r="D167" s="1"/>
      <c r="E167" s="4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2:24" ht="14.25" customHeight="1" x14ac:dyDescent="0.3">
      <c r="B168" s="1"/>
      <c r="C168" s="16"/>
      <c r="D168" s="1"/>
      <c r="E168" s="4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2:24" ht="14.25" customHeight="1" x14ac:dyDescent="0.3">
      <c r="B169" s="1"/>
      <c r="C169" s="16"/>
      <c r="D169" s="1"/>
      <c r="E169" s="4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2:24" ht="14.25" customHeight="1" x14ac:dyDescent="0.3">
      <c r="B170" s="1"/>
      <c r="C170" s="16"/>
      <c r="D170" s="1"/>
      <c r="E170" s="4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2:24" ht="14.25" customHeight="1" x14ac:dyDescent="0.3">
      <c r="B171" s="1"/>
      <c r="C171" s="16"/>
      <c r="D171" s="1"/>
      <c r="E171" s="4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2:24" ht="14.25" customHeight="1" x14ac:dyDescent="0.3">
      <c r="B172" s="1"/>
      <c r="C172" s="16"/>
      <c r="D172" s="1"/>
      <c r="E172" s="4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2:24" ht="14.25" customHeight="1" x14ac:dyDescent="0.3">
      <c r="B173" s="1"/>
      <c r="C173" s="16"/>
      <c r="D173" s="1"/>
      <c r="E173" s="4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2:24" ht="14.25" customHeight="1" x14ac:dyDescent="0.3">
      <c r="B174" s="1"/>
      <c r="C174" s="16"/>
      <c r="D174" s="1"/>
      <c r="E174" s="4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2:24" ht="14.25" customHeight="1" x14ac:dyDescent="0.3">
      <c r="B175" s="1"/>
      <c r="C175" s="16"/>
      <c r="D175" s="1"/>
      <c r="E175" s="4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2:24" ht="14.25" customHeight="1" x14ac:dyDescent="0.3">
      <c r="B176" s="1"/>
      <c r="C176" s="16"/>
      <c r="D176" s="1"/>
      <c r="E176" s="4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2:24" ht="14.25" customHeight="1" x14ac:dyDescent="0.3">
      <c r="B177" s="1"/>
      <c r="C177" s="16"/>
      <c r="D177" s="1"/>
      <c r="E177" s="4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2:24" ht="14.25" customHeight="1" x14ac:dyDescent="0.3">
      <c r="B178" s="1"/>
      <c r="C178" s="16"/>
      <c r="D178" s="1"/>
      <c r="E178" s="4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2:24" ht="14.25" customHeight="1" x14ac:dyDescent="0.3">
      <c r="B179" s="1"/>
      <c r="C179" s="16"/>
      <c r="D179" s="1"/>
      <c r="E179" s="4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2:24" ht="14.25" customHeight="1" x14ac:dyDescent="0.3">
      <c r="B180" s="1"/>
      <c r="C180" s="16"/>
      <c r="D180" s="1"/>
      <c r="E180" s="4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2:24" ht="14.25" customHeight="1" x14ac:dyDescent="0.3">
      <c r="B181" s="1"/>
      <c r="C181" s="16"/>
      <c r="D181" s="1"/>
      <c r="E181" s="4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2:24" ht="14.25" customHeight="1" x14ac:dyDescent="0.3">
      <c r="B182" s="1"/>
      <c r="C182" s="16"/>
      <c r="D182" s="1"/>
      <c r="E182" s="4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2:24" ht="14.25" customHeight="1" x14ac:dyDescent="0.3">
      <c r="B183" s="1"/>
      <c r="C183" s="16"/>
      <c r="D183" s="1"/>
      <c r="E183" s="4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2:24" ht="14.25" customHeight="1" x14ac:dyDescent="0.3">
      <c r="B184" s="1"/>
      <c r="C184" s="16"/>
      <c r="D184" s="1"/>
      <c r="E184" s="4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2:24" ht="14.25" customHeight="1" x14ac:dyDescent="0.3">
      <c r="B185" s="1"/>
      <c r="C185" s="16"/>
      <c r="D185" s="1"/>
      <c r="E185" s="4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2:24" ht="14.25" customHeight="1" x14ac:dyDescent="0.3">
      <c r="B186" s="1"/>
      <c r="C186" s="16"/>
      <c r="D186" s="1"/>
      <c r="E186" s="4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2:24" ht="14.25" customHeight="1" x14ac:dyDescent="0.3">
      <c r="B187" s="1"/>
      <c r="C187" s="16"/>
      <c r="D187" s="1"/>
      <c r="E187" s="4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2:24" ht="14.25" customHeight="1" x14ac:dyDescent="0.3">
      <c r="B188" s="1"/>
      <c r="C188" s="16"/>
      <c r="D188" s="1"/>
      <c r="E188" s="4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2:24" ht="14.25" customHeight="1" x14ac:dyDescent="0.3">
      <c r="B189" s="1"/>
      <c r="C189" s="16"/>
      <c r="D189" s="1"/>
      <c r="E189" s="4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2:24" ht="14.25" customHeight="1" x14ac:dyDescent="0.3">
      <c r="B190" s="1"/>
      <c r="C190" s="16"/>
      <c r="D190" s="1"/>
      <c r="E190" s="4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2:24" ht="14.25" customHeight="1" x14ac:dyDescent="0.3">
      <c r="B191" s="1"/>
      <c r="C191" s="16"/>
      <c r="D191" s="1"/>
      <c r="E191" s="4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2:24" ht="14.25" customHeight="1" x14ac:dyDescent="0.3">
      <c r="B192" s="1"/>
      <c r="C192" s="16"/>
      <c r="D192" s="1"/>
      <c r="E192" s="4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2:24" ht="14.25" customHeight="1" x14ac:dyDescent="0.3">
      <c r="B193" s="1"/>
      <c r="C193" s="16"/>
      <c r="D193" s="1"/>
      <c r="E193" s="4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2:24" ht="14.25" customHeight="1" x14ac:dyDescent="0.3">
      <c r="B194" s="1"/>
      <c r="C194" s="16"/>
      <c r="D194" s="1"/>
      <c r="E194" s="4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2:24" ht="14.25" customHeight="1" x14ac:dyDescent="0.3">
      <c r="B195" s="1"/>
      <c r="C195" s="16"/>
      <c r="D195" s="1"/>
      <c r="E195" s="4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2:24" ht="14.25" customHeight="1" x14ac:dyDescent="0.3">
      <c r="B196" s="1"/>
      <c r="C196" s="16"/>
      <c r="D196" s="1"/>
      <c r="E196" s="4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2:24" ht="14.25" customHeight="1" x14ac:dyDescent="0.3">
      <c r="B197" s="1"/>
      <c r="C197" s="16"/>
      <c r="D197" s="1"/>
      <c r="E197" s="4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2:24" ht="14.25" customHeight="1" x14ac:dyDescent="0.3">
      <c r="B198" s="1"/>
      <c r="C198" s="16"/>
      <c r="D198" s="1"/>
      <c r="E198" s="4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2:24" ht="14.25" customHeight="1" x14ac:dyDescent="0.3">
      <c r="B199" s="1"/>
      <c r="C199" s="16"/>
      <c r="D199" s="1"/>
      <c r="E199" s="4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2:24" ht="14.25" customHeight="1" x14ac:dyDescent="0.3"/>
    <row r="201" spans="2:24" ht="14.25" customHeight="1" x14ac:dyDescent="0.3"/>
    <row r="202" spans="2:24" ht="14.25" customHeight="1" x14ac:dyDescent="0.3"/>
    <row r="203" spans="2:24" ht="14.25" customHeight="1" x14ac:dyDescent="0.3"/>
    <row r="204" spans="2:24" ht="14.25" customHeight="1" x14ac:dyDescent="0.3"/>
    <row r="205" spans="2:24" ht="14.25" customHeight="1" x14ac:dyDescent="0.3"/>
    <row r="206" spans="2:24" ht="14.25" customHeight="1" x14ac:dyDescent="0.3"/>
    <row r="207" spans="2:24" ht="14.25" customHeight="1" x14ac:dyDescent="0.3"/>
    <row r="208" spans="2:24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</sheetData>
  <mergeCells count="1">
    <mergeCell ref="B16:D16"/>
  </mergeCells>
  <dataValidations count="1">
    <dataValidation allowBlank="1" showInputMessage="1" showErrorMessage="1" prompt="Vui lòng nhập số nguyên hoặc số thập phân. Xin cảm ơn." sqref="D1:D15 D17:D1048576"/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zoomScale="85" zoomScaleNormal="85" workbookViewId="0">
      <selection activeCell="G15" sqref="G15"/>
    </sheetView>
  </sheetViews>
  <sheetFormatPr defaultColWidth="14.44140625" defaultRowHeight="15" customHeight="1" x14ac:dyDescent="0.3"/>
  <cols>
    <col min="1" max="1" width="6.77734375" style="21" customWidth="1"/>
    <col min="2" max="2" width="28.33203125" customWidth="1"/>
    <col min="3" max="3" width="19.21875" style="21" customWidth="1"/>
    <col min="4" max="4" width="20.21875" customWidth="1"/>
    <col min="5" max="5" width="20.88671875" customWidth="1"/>
  </cols>
  <sheetData>
    <row r="1" spans="1:5" ht="29.55" customHeight="1" x14ac:dyDescent="0.3">
      <c r="A1" s="19" t="s">
        <v>9</v>
      </c>
      <c r="B1" s="13" t="s">
        <v>28</v>
      </c>
      <c r="C1" s="25" t="s">
        <v>29</v>
      </c>
      <c r="D1" s="18" t="s">
        <v>2</v>
      </c>
      <c r="E1" s="43" t="s">
        <v>2</v>
      </c>
    </row>
    <row r="2" spans="1:5" ht="15" customHeight="1" x14ac:dyDescent="0.3">
      <c r="A2" s="20">
        <v>15</v>
      </c>
      <c r="B2" s="11" t="s">
        <v>30</v>
      </c>
      <c r="C2" s="20">
        <v>0.1195</v>
      </c>
      <c r="D2" s="37"/>
      <c r="E2" s="44">
        <f>D2*C2</f>
        <v>0</v>
      </c>
    </row>
    <row r="3" spans="1:5" ht="15" customHeight="1" x14ac:dyDescent="0.3">
      <c r="A3" s="20">
        <v>16</v>
      </c>
      <c r="B3" s="11" t="s">
        <v>31</v>
      </c>
      <c r="C3" s="20">
        <v>0.10312</v>
      </c>
      <c r="D3" s="37"/>
      <c r="E3" s="44">
        <f t="shared" ref="E3:E20" si="0">D3*C3</f>
        <v>0</v>
      </c>
    </row>
    <row r="4" spans="1:5" ht="15" customHeight="1" x14ac:dyDescent="0.3">
      <c r="A4" s="20">
        <v>17</v>
      </c>
      <c r="B4" s="11" t="s">
        <v>32</v>
      </c>
      <c r="C4" s="20">
        <v>2.7320000000000001E-2</v>
      </c>
      <c r="D4" s="37"/>
      <c r="E4" s="44">
        <f t="shared" si="0"/>
        <v>0</v>
      </c>
    </row>
    <row r="5" spans="1:5" ht="15" customHeight="1" x14ac:dyDescent="0.3">
      <c r="A5" s="20">
        <v>18</v>
      </c>
      <c r="B5" s="11" t="s">
        <v>33</v>
      </c>
      <c r="C5" s="20">
        <v>0.13721</v>
      </c>
      <c r="D5" s="37"/>
      <c r="E5" s="44">
        <f t="shared" si="0"/>
        <v>0</v>
      </c>
    </row>
    <row r="6" spans="1:5" ht="15" customHeight="1" x14ac:dyDescent="0.3">
      <c r="A6" s="20">
        <v>19</v>
      </c>
      <c r="B6" s="11" t="s">
        <v>34</v>
      </c>
      <c r="C6" s="20">
        <v>0.16636999999999999</v>
      </c>
      <c r="D6" s="37"/>
      <c r="E6" s="44">
        <f t="shared" si="0"/>
        <v>0</v>
      </c>
    </row>
    <row r="7" spans="1:5" ht="15" customHeight="1" x14ac:dyDescent="0.3">
      <c r="A7" s="20">
        <v>20</v>
      </c>
      <c r="B7" s="11" t="s">
        <v>35</v>
      </c>
      <c r="C7" s="20">
        <v>0.20419000000000001</v>
      </c>
      <c r="D7" s="37"/>
      <c r="E7" s="44">
        <f t="shared" si="0"/>
        <v>0</v>
      </c>
    </row>
    <row r="8" spans="1:5" ht="15" customHeight="1" x14ac:dyDescent="0.3">
      <c r="A8" s="20">
        <v>21</v>
      </c>
      <c r="B8" s="11" t="s">
        <v>36</v>
      </c>
      <c r="C8" s="20">
        <v>0.16844000000000001</v>
      </c>
      <c r="D8" s="37"/>
      <c r="E8" s="44">
        <f t="shared" si="0"/>
        <v>0</v>
      </c>
    </row>
    <row r="9" spans="1:5" ht="15" customHeight="1" x14ac:dyDescent="0.3">
      <c r="A9" s="20">
        <v>22</v>
      </c>
      <c r="B9" s="11" t="s">
        <v>37</v>
      </c>
      <c r="C9" s="20">
        <v>0.14835999999999999</v>
      </c>
      <c r="D9" s="37"/>
      <c r="E9" s="44">
        <f t="shared" si="0"/>
        <v>0</v>
      </c>
    </row>
    <row r="10" spans="1:5" ht="15" customHeight="1" x14ac:dyDescent="0.3">
      <c r="A10" s="20">
        <v>23</v>
      </c>
      <c r="B10" s="11" t="s">
        <v>38</v>
      </c>
      <c r="C10" s="20">
        <v>0.18659000000000001</v>
      </c>
      <c r="D10" s="37"/>
      <c r="E10" s="44">
        <f t="shared" si="0"/>
        <v>0</v>
      </c>
    </row>
    <row r="11" spans="1:5" ht="15" customHeight="1" x14ac:dyDescent="0.3">
      <c r="A11" s="20">
        <v>24</v>
      </c>
      <c r="B11" s="11" t="s">
        <v>39</v>
      </c>
      <c r="C11" s="20">
        <v>0.27806999999999998</v>
      </c>
      <c r="D11" s="37"/>
      <c r="E11" s="44">
        <f t="shared" si="0"/>
        <v>0</v>
      </c>
    </row>
    <row r="12" spans="1:5" ht="15" customHeight="1" x14ac:dyDescent="0.3">
      <c r="A12" s="20">
        <v>25</v>
      </c>
      <c r="B12" s="11" t="s">
        <v>40</v>
      </c>
      <c r="C12" s="20">
        <v>0.17430000000000001</v>
      </c>
      <c r="D12" s="37"/>
      <c r="E12" s="44">
        <f t="shared" si="0"/>
        <v>0</v>
      </c>
    </row>
    <row r="13" spans="1:5" ht="15" customHeight="1" x14ac:dyDescent="0.3">
      <c r="A13" s="20">
        <v>26</v>
      </c>
      <c r="B13" s="11" t="s">
        <v>41</v>
      </c>
      <c r="C13" s="20">
        <v>0.10274999999999999</v>
      </c>
      <c r="D13" s="37"/>
      <c r="E13" s="44">
        <f t="shared" si="0"/>
        <v>0</v>
      </c>
    </row>
    <row r="14" spans="1:5" ht="15" customHeight="1" x14ac:dyDescent="0.3">
      <c r="A14" s="20">
        <v>27</v>
      </c>
      <c r="B14" s="11" t="s">
        <v>42</v>
      </c>
      <c r="C14" s="20">
        <v>0.10698000000000001</v>
      </c>
      <c r="D14" s="37"/>
      <c r="E14" s="44">
        <f t="shared" si="0"/>
        <v>0</v>
      </c>
    </row>
    <row r="15" spans="1:5" ht="15" customHeight="1" x14ac:dyDescent="0.3">
      <c r="A15" s="20">
        <v>28</v>
      </c>
      <c r="B15" s="11" t="s">
        <v>43</v>
      </c>
      <c r="C15" s="20">
        <v>0.14480000000000001</v>
      </c>
      <c r="D15" s="37"/>
      <c r="E15" s="44">
        <f t="shared" si="0"/>
        <v>0</v>
      </c>
    </row>
    <row r="16" spans="1:5" ht="15" customHeight="1" x14ac:dyDescent="0.3">
      <c r="A16" s="20">
        <v>29</v>
      </c>
      <c r="B16" s="11" t="s">
        <v>44</v>
      </c>
      <c r="C16" s="20">
        <v>0.14480000000000001</v>
      </c>
      <c r="D16" s="37"/>
      <c r="E16" s="44">
        <f t="shared" si="0"/>
        <v>0</v>
      </c>
    </row>
    <row r="17" spans="1:5" ht="15" customHeight="1" x14ac:dyDescent="0.3">
      <c r="A17" s="20">
        <v>30</v>
      </c>
      <c r="B17" s="11" t="s">
        <v>45</v>
      </c>
      <c r="C17" s="20">
        <v>0.11558</v>
      </c>
      <c r="D17" s="47"/>
      <c r="E17" s="44">
        <f t="shared" si="0"/>
        <v>0</v>
      </c>
    </row>
    <row r="18" spans="1:5" ht="15" customHeight="1" x14ac:dyDescent="0.3">
      <c r="A18" s="20">
        <v>31</v>
      </c>
      <c r="B18" s="11" t="s">
        <v>46</v>
      </c>
      <c r="C18" s="20">
        <v>0.15934999999999999</v>
      </c>
      <c r="D18" s="37"/>
      <c r="E18" s="44">
        <f t="shared" si="0"/>
        <v>0</v>
      </c>
    </row>
    <row r="19" spans="1:5" ht="15" customHeight="1" x14ac:dyDescent="0.3">
      <c r="A19" s="20">
        <v>32</v>
      </c>
      <c r="B19" s="11" t="s">
        <v>47</v>
      </c>
      <c r="C19" s="20">
        <v>0.23680000000000001</v>
      </c>
      <c r="D19" s="37"/>
      <c r="E19" s="44">
        <f t="shared" si="0"/>
        <v>0</v>
      </c>
    </row>
    <row r="20" spans="1:5" ht="15" customHeight="1" x14ac:dyDescent="0.3">
      <c r="A20" s="20">
        <v>33</v>
      </c>
      <c r="B20" s="11" t="s">
        <v>48</v>
      </c>
      <c r="C20" s="20">
        <v>0.17621000000000001</v>
      </c>
      <c r="D20" s="37"/>
      <c r="E20" s="44">
        <f t="shared" si="0"/>
        <v>0</v>
      </c>
    </row>
    <row r="21" spans="1:5" ht="15" customHeight="1" x14ac:dyDescent="0.4">
      <c r="A21" s="42"/>
      <c r="B21" s="55" t="s">
        <v>27</v>
      </c>
      <c r="C21" s="55"/>
      <c r="D21" s="55"/>
      <c r="E21" s="49">
        <f>SUM(E2:E20)</f>
        <v>0</v>
      </c>
    </row>
  </sheetData>
  <mergeCells count="1">
    <mergeCell ref="B21:D21"/>
  </mergeCells>
  <dataValidations xWindow="638" yWindow="508" count="1">
    <dataValidation allowBlank="1" showInputMessage="1" showErrorMessage="1" prompt="Vui lòng nhập số nguyên hoặc số thập phân. Xin cảm ơn." sqref="D1:D20 D22:D1048576"/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84"/>
  <sheetViews>
    <sheetView workbookViewId="0">
      <selection activeCell="D11" sqref="D11"/>
    </sheetView>
  </sheetViews>
  <sheetFormatPr defaultColWidth="14.44140625" defaultRowHeight="14.4" x14ac:dyDescent="0.3"/>
  <cols>
    <col min="1" max="1" width="6.77734375" style="23" customWidth="1"/>
    <col min="2" max="2" width="63.5546875" style="2" bestFit="1" customWidth="1"/>
    <col min="3" max="3" width="13.77734375" style="2" customWidth="1"/>
    <col min="4" max="4" width="19.77734375" style="2" customWidth="1"/>
    <col min="5" max="5" width="38.44140625" style="2" customWidth="1"/>
    <col min="6" max="21" width="8.77734375" style="2" customWidth="1"/>
    <col min="22" max="22" width="14.44140625" style="2" customWidth="1"/>
    <col min="23" max="16384" width="14.44140625" style="2"/>
  </cols>
  <sheetData>
    <row r="1" spans="1:21" ht="31.2" x14ac:dyDescent="0.3">
      <c r="A1" s="19" t="s">
        <v>9</v>
      </c>
      <c r="B1" s="13" t="s">
        <v>49</v>
      </c>
      <c r="C1" s="25" t="s">
        <v>50</v>
      </c>
      <c r="D1" s="31" t="s">
        <v>2</v>
      </c>
      <c r="E1" s="48" t="s">
        <v>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</row>
    <row r="2" spans="1:21" ht="15.6" x14ac:dyDescent="0.3">
      <c r="A2" s="20">
        <v>34</v>
      </c>
      <c r="B2" s="26" t="s">
        <v>13</v>
      </c>
      <c r="C2" s="27">
        <v>854344</v>
      </c>
      <c r="D2" s="39"/>
      <c r="E2" s="44">
        <f>D2*C2</f>
        <v>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4"/>
      <c r="U2" s="4"/>
    </row>
    <row r="3" spans="1:21" ht="15.6" x14ac:dyDescent="0.3">
      <c r="A3" s="20">
        <v>35</v>
      </c>
      <c r="B3" s="26" t="s">
        <v>14</v>
      </c>
      <c r="C3" s="27">
        <v>4449759</v>
      </c>
      <c r="D3" s="40"/>
      <c r="E3" s="44">
        <f t="shared" ref="E3:E15" si="0">D3*C3</f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4"/>
    </row>
    <row r="4" spans="1:21" ht="15.6" x14ac:dyDescent="0.3">
      <c r="A4" s="20">
        <v>36</v>
      </c>
      <c r="B4" s="26" t="s">
        <v>15</v>
      </c>
      <c r="C4" s="27">
        <v>4581763</v>
      </c>
      <c r="D4" s="40"/>
      <c r="E4" s="44">
        <f t="shared" si="0"/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4"/>
    </row>
    <row r="5" spans="1:21" ht="15.6" x14ac:dyDescent="0.3">
      <c r="A5" s="20">
        <v>37</v>
      </c>
      <c r="B5" s="26" t="s">
        <v>16</v>
      </c>
      <c r="C5" s="27">
        <v>12489</v>
      </c>
      <c r="D5" s="40"/>
      <c r="E5" s="44">
        <f t="shared" si="0"/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4"/>
    </row>
    <row r="6" spans="1:21" ht="15.6" x14ac:dyDescent="0.3">
      <c r="A6" s="20">
        <v>38</v>
      </c>
      <c r="B6" s="26" t="s">
        <v>17</v>
      </c>
      <c r="C6" s="27">
        <v>89344</v>
      </c>
      <c r="D6" s="40"/>
      <c r="E6" s="44">
        <f t="shared" si="0"/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/>
      <c r="U6" s="4"/>
    </row>
    <row r="7" spans="1:21" ht="15.6" x14ac:dyDescent="0.3">
      <c r="A7" s="20">
        <v>39</v>
      </c>
      <c r="B7" s="26" t="s">
        <v>18</v>
      </c>
      <c r="C7" s="27">
        <v>4373719</v>
      </c>
      <c r="D7" s="40"/>
      <c r="E7" s="44">
        <f t="shared" si="0"/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4"/>
      <c r="U7" s="4"/>
    </row>
    <row r="8" spans="1:21" ht="15.6" x14ac:dyDescent="0.3">
      <c r="A8" s="20">
        <v>40</v>
      </c>
      <c r="B8" s="26" t="s">
        <v>19</v>
      </c>
      <c r="C8" s="27">
        <v>89344</v>
      </c>
      <c r="D8" s="40"/>
      <c r="E8" s="44">
        <f t="shared" si="0"/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4"/>
      <c r="U8" s="4"/>
    </row>
    <row r="9" spans="1:21" ht="15.6" x14ac:dyDescent="0.3">
      <c r="A9" s="20">
        <v>41</v>
      </c>
      <c r="B9" s="28" t="s">
        <v>20</v>
      </c>
      <c r="C9" s="27">
        <v>6269073</v>
      </c>
      <c r="D9" s="40"/>
      <c r="E9" s="44">
        <f t="shared" si="0"/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4"/>
      <c r="U9" s="4"/>
    </row>
    <row r="10" spans="1:21" ht="15.6" x14ac:dyDescent="0.3">
      <c r="A10" s="20">
        <v>42</v>
      </c>
      <c r="B10" s="26" t="s">
        <v>21</v>
      </c>
      <c r="C10" s="27">
        <v>10418361</v>
      </c>
      <c r="D10" s="40"/>
      <c r="E10" s="44">
        <f t="shared" si="0"/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4"/>
      <c r="U10" s="4"/>
    </row>
    <row r="11" spans="1:21" ht="15.6" x14ac:dyDescent="0.3">
      <c r="A11" s="20">
        <v>43</v>
      </c>
      <c r="B11" s="26" t="s">
        <v>22</v>
      </c>
      <c r="C11" s="27">
        <v>89344</v>
      </c>
      <c r="D11" s="40"/>
      <c r="E11" s="44">
        <f t="shared" si="0"/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4"/>
      <c r="U11" s="4"/>
    </row>
    <row r="12" spans="1:21" ht="15.6" x14ac:dyDescent="0.3">
      <c r="A12" s="20">
        <v>44</v>
      </c>
      <c r="B12" s="26" t="s">
        <v>23</v>
      </c>
      <c r="C12" s="27">
        <v>89344</v>
      </c>
      <c r="D12" s="40"/>
      <c r="E12" s="44">
        <f t="shared" si="0"/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4"/>
      <c r="U12" s="4"/>
    </row>
    <row r="13" spans="1:21" ht="15.6" x14ac:dyDescent="0.3">
      <c r="A13" s="20">
        <v>45</v>
      </c>
      <c r="B13" s="26" t="s">
        <v>24</v>
      </c>
      <c r="C13" s="27">
        <v>89344</v>
      </c>
      <c r="D13" s="40"/>
      <c r="E13" s="44">
        <f t="shared" si="0"/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4"/>
      <c r="U13" s="4"/>
    </row>
    <row r="14" spans="1:21" ht="15.6" x14ac:dyDescent="0.3">
      <c r="A14" s="20">
        <v>46</v>
      </c>
      <c r="B14" s="26" t="s">
        <v>25</v>
      </c>
      <c r="C14" s="27">
        <v>89344</v>
      </c>
      <c r="D14" s="40"/>
      <c r="E14" s="44">
        <f t="shared" si="0"/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4"/>
      <c r="U14" s="4"/>
    </row>
    <row r="15" spans="1:21" ht="15.6" x14ac:dyDescent="0.3">
      <c r="A15" s="20">
        <v>47</v>
      </c>
      <c r="B15" s="26" t="s">
        <v>26</v>
      </c>
      <c r="C15" s="27">
        <v>89344</v>
      </c>
      <c r="D15" s="40"/>
      <c r="E15" s="44">
        <f t="shared" si="0"/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4"/>
      <c r="U15" s="4"/>
    </row>
    <row r="16" spans="1:21" ht="21" x14ac:dyDescent="0.4">
      <c r="A16" s="42"/>
      <c r="B16" s="55" t="s">
        <v>27</v>
      </c>
      <c r="C16" s="55"/>
      <c r="D16" s="55"/>
      <c r="E16" s="49">
        <f>SUM(E2:E15)</f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4"/>
    </row>
    <row r="17" spans="1:21" ht="15.6" x14ac:dyDescent="0.3">
      <c r="A17" s="29"/>
      <c r="B17" s="5"/>
      <c r="C17" s="3"/>
      <c r="D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4"/>
      <c r="T17" s="4"/>
    </row>
    <row r="18" spans="1:21" ht="15.6" x14ac:dyDescent="0.3">
      <c r="A18" s="29"/>
      <c r="B18" s="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4"/>
      <c r="T18" s="4"/>
    </row>
    <row r="19" spans="1:21" ht="15.6" x14ac:dyDescent="0.3">
      <c r="A19" s="29"/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4"/>
      <c r="T19" s="4"/>
    </row>
    <row r="20" spans="1:21" ht="15.6" x14ac:dyDescent="0.3">
      <c r="A20" s="29"/>
      <c r="B20" s="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4"/>
      <c r="T20" s="4"/>
    </row>
    <row r="21" spans="1:21" ht="15.6" x14ac:dyDescent="0.3">
      <c r="A21" s="29"/>
      <c r="B21" s="5"/>
      <c r="C21" s="3"/>
      <c r="D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4"/>
      <c r="T21" s="4"/>
    </row>
    <row r="22" spans="1:21" ht="15.6" x14ac:dyDescent="0.3">
      <c r="A22" s="29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4"/>
      <c r="T22" s="4"/>
    </row>
    <row r="23" spans="1:21" ht="15.6" x14ac:dyDescent="0.3">
      <c r="A23" s="29"/>
      <c r="B23" s="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4"/>
      <c r="T23" s="4"/>
    </row>
    <row r="24" spans="1:21" ht="15.6" x14ac:dyDescent="0.3">
      <c r="A24" s="29"/>
      <c r="B24" s="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4"/>
      <c r="T24" s="4"/>
    </row>
    <row r="25" spans="1:21" ht="15.6" x14ac:dyDescent="0.3">
      <c r="A25" s="29"/>
      <c r="B25" s="5"/>
      <c r="C25" s="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4"/>
      <c r="U25" s="4"/>
    </row>
    <row r="26" spans="1:21" ht="15.6" x14ac:dyDescent="0.3">
      <c r="A26" s="2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4"/>
      <c r="U26" s="4"/>
    </row>
    <row r="27" spans="1:21" ht="15.6" x14ac:dyDescent="0.3">
      <c r="A27" s="2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4"/>
      <c r="U27" s="4"/>
    </row>
    <row r="28" spans="1:21" ht="15.6" x14ac:dyDescent="0.3">
      <c r="A28" s="2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4"/>
      <c r="U28" s="4"/>
    </row>
    <row r="29" spans="1:21" ht="15.6" x14ac:dyDescent="0.3">
      <c r="A29" s="2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4"/>
      <c r="U29" s="4"/>
    </row>
    <row r="30" spans="1:21" ht="15.6" x14ac:dyDescent="0.3">
      <c r="A30" s="29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4"/>
      <c r="U30" s="4"/>
    </row>
    <row r="31" spans="1:21" ht="15.6" x14ac:dyDescent="0.3">
      <c r="A31" s="29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4"/>
      <c r="U31" s="4"/>
    </row>
    <row r="32" spans="1:21" ht="15.6" x14ac:dyDescent="0.3">
      <c r="A32" s="29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4"/>
      <c r="U32" s="4"/>
    </row>
    <row r="33" spans="1:21" ht="15.6" x14ac:dyDescent="0.3">
      <c r="A33" s="29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4"/>
      <c r="U33" s="4"/>
    </row>
    <row r="34" spans="1:21" ht="15.6" x14ac:dyDescent="0.3">
      <c r="A34" s="29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4"/>
      <c r="U34" s="4"/>
    </row>
    <row r="35" spans="1:21" ht="15.6" x14ac:dyDescent="0.3">
      <c r="A35" s="29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4"/>
      <c r="U35" s="4"/>
    </row>
    <row r="36" spans="1:21" ht="15.6" x14ac:dyDescent="0.3">
      <c r="A36" s="29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4"/>
      <c r="U36" s="4"/>
    </row>
    <row r="37" spans="1:21" ht="15.6" x14ac:dyDescent="0.3">
      <c r="A37" s="29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4"/>
      <c r="U37" s="4"/>
    </row>
    <row r="38" spans="1:21" ht="15.6" x14ac:dyDescent="0.3">
      <c r="A38" s="29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4"/>
      <c r="U38" s="4"/>
    </row>
    <row r="39" spans="1:21" ht="15.6" x14ac:dyDescent="0.3">
      <c r="A39" s="29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4"/>
      <c r="U39" s="4"/>
    </row>
    <row r="40" spans="1:21" ht="15.6" x14ac:dyDescent="0.3">
      <c r="A40" s="2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4"/>
      <c r="U40" s="4"/>
    </row>
    <row r="41" spans="1:21" ht="15.6" x14ac:dyDescent="0.3">
      <c r="A41" s="2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4"/>
      <c r="U41" s="4"/>
    </row>
    <row r="42" spans="1:21" ht="15.6" x14ac:dyDescent="0.3">
      <c r="A42" s="29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4"/>
      <c r="U42" s="4"/>
    </row>
    <row r="43" spans="1:21" ht="15.6" x14ac:dyDescent="0.3">
      <c r="A43" s="29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4"/>
      <c r="U43" s="4"/>
    </row>
    <row r="44" spans="1:21" ht="15.6" x14ac:dyDescent="0.3">
      <c r="A44" s="29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4"/>
      <c r="U44" s="4"/>
    </row>
    <row r="45" spans="1:21" ht="15.6" x14ac:dyDescent="0.3">
      <c r="A45" s="29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4"/>
      <c r="U45" s="4"/>
    </row>
    <row r="46" spans="1:21" ht="15.6" x14ac:dyDescent="0.3">
      <c r="A46" s="29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4"/>
      <c r="U46" s="4"/>
    </row>
    <row r="47" spans="1:21" ht="15.6" x14ac:dyDescent="0.3">
      <c r="A47" s="29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4"/>
      <c r="U47" s="4"/>
    </row>
    <row r="48" spans="1:21" ht="15.6" x14ac:dyDescent="0.3">
      <c r="A48" s="29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4"/>
      <c r="U48" s="4"/>
    </row>
    <row r="49" spans="1:21" ht="15.6" x14ac:dyDescent="0.3">
      <c r="A49" s="29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4"/>
      <c r="U49" s="4"/>
    </row>
    <row r="50" spans="1:21" ht="15.6" x14ac:dyDescent="0.3">
      <c r="A50" s="29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4"/>
      <c r="U50" s="4"/>
    </row>
    <row r="51" spans="1:21" ht="15.6" x14ac:dyDescent="0.3">
      <c r="A51" s="29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4"/>
      <c r="U51" s="4"/>
    </row>
    <row r="52" spans="1:21" ht="15.6" x14ac:dyDescent="0.3">
      <c r="A52" s="29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4"/>
      <c r="U52" s="4"/>
    </row>
    <row r="53" spans="1:21" ht="15.6" x14ac:dyDescent="0.3">
      <c r="A53" s="29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4"/>
      <c r="U53" s="4"/>
    </row>
    <row r="54" spans="1:21" ht="15.6" x14ac:dyDescent="0.3">
      <c r="A54" s="29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4"/>
      <c r="U54" s="4"/>
    </row>
    <row r="55" spans="1:21" ht="15.6" x14ac:dyDescent="0.3">
      <c r="A55" s="29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4"/>
      <c r="U55" s="4"/>
    </row>
    <row r="56" spans="1:21" ht="15.6" x14ac:dyDescent="0.3">
      <c r="A56" s="29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4"/>
      <c r="U56" s="4"/>
    </row>
    <row r="57" spans="1:21" ht="15.6" x14ac:dyDescent="0.3">
      <c r="A57" s="29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4"/>
      <c r="U57" s="4"/>
    </row>
    <row r="58" spans="1:21" ht="15.6" x14ac:dyDescent="0.3">
      <c r="A58" s="29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4"/>
      <c r="U58" s="4"/>
    </row>
    <row r="59" spans="1:21" ht="15.6" x14ac:dyDescent="0.3">
      <c r="A59" s="29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4"/>
      <c r="U59" s="4"/>
    </row>
    <row r="60" spans="1:21" ht="15.6" x14ac:dyDescent="0.3">
      <c r="A60" s="29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4"/>
      <c r="U60" s="4"/>
    </row>
    <row r="61" spans="1:21" ht="15.6" x14ac:dyDescent="0.3">
      <c r="A61" s="29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4"/>
      <c r="U61" s="4"/>
    </row>
    <row r="62" spans="1:21" ht="15.6" x14ac:dyDescent="0.3">
      <c r="A62" s="29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4"/>
      <c r="U62" s="4"/>
    </row>
    <row r="63" spans="1:21" ht="15.6" x14ac:dyDescent="0.3">
      <c r="A63" s="29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4"/>
      <c r="U63" s="4"/>
    </row>
    <row r="64" spans="1:21" ht="15.6" x14ac:dyDescent="0.3">
      <c r="A64" s="29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4"/>
      <c r="U64" s="4"/>
    </row>
    <row r="65" spans="1:21" ht="15.6" x14ac:dyDescent="0.3">
      <c r="A65" s="29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4"/>
      <c r="U65" s="4"/>
    </row>
    <row r="66" spans="1:21" ht="15.6" x14ac:dyDescent="0.3">
      <c r="A66" s="29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4"/>
      <c r="U66" s="4"/>
    </row>
    <row r="67" spans="1:21" ht="15.6" x14ac:dyDescent="0.3">
      <c r="A67" s="29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4"/>
      <c r="U67" s="4"/>
    </row>
    <row r="68" spans="1:21" ht="15.6" x14ac:dyDescent="0.3">
      <c r="A68" s="29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4"/>
      <c r="U68" s="4"/>
    </row>
    <row r="69" spans="1:21" ht="15.6" x14ac:dyDescent="0.3">
      <c r="A69" s="29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4"/>
      <c r="U69" s="4"/>
    </row>
    <row r="70" spans="1:21" ht="15.6" x14ac:dyDescent="0.3">
      <c r="A70" s="29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4"/>
      <c r="U70" s="4"/>
    </row>
    <row r="71" spans="1:21" ht="15.6" x14ac:dyDescent="0.3">
      <c r="A71" s="29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4"/>
      <c r="U71" s="4"/>
    </row>
    <row r="72" spans="1:21" ht="15.6" x14ac:dyDescent="0.3">
      <c r="A72" s="29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4"/>
      <c r="U72" s="4"/>
    </row>
    <row r="73" spans="1:21" ht="15.6" x14ac:dyDescent="0.3">
      <c r="A73" s="29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4"/>
      <c r="U73" s="4"/>
    </row>
    <row r="74" spans="1:21" ht="15.6" x14ac:dyDescent="0.3">
      <c r="A74" s="29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4"/>
      <c r="U74" s="4"/>
    </row>
    <row r="75" spans="1:21" ht="15.6" x14ac:dyDescent="0.3">
      <c r="A75" s="29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4"/>
      <c r="U75" s="4"/>
    </row>
    <row r="76" spans="1:21" ht="15.6" x14ac:dyDescent="0.3">
      <c r="A76" s="2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4"/>
      <c r="U76" s="4"/>
    </row>
    <row r="77" spans="1:21" ht="15.6" x14ac:dyDescent="0.3">
      <c r="A77" s="29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4"/>
      <c r="U77" s="4"/>
    </row>
    <row r="78" spans="1:21" ht="15.6" x14ac:dyDescent="0.3">
      <c r="A78" s="2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4"/>
      <c r="U78" s="4"/>
    </row>
    <row r="79" spans="1:21" ht="15.6" x14ac:dyDescent="0.3">
      <c r="A79" s="2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4"/>
      <c r="U79" s="4"/>
    </row>
    <row r="80" spans="1:21" ht="15.6" x14ac:dyDescent="0.3">
      <c r="A80" s="2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4"/>
      <c r="U80" s="4"/>
    </row>
    <row r="81" spans="1:21" ht="15.6" x14ac:dyDescent="0.3">
      <c r="A81" s="2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4"/>
      <c r="U81" s="4"/>
    </row>
    <row r="82" spans="1:21" ht="15.6" x14ac:dyDescent="0.3">
      <c r="A82" s="29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4"/>
      <c r="U82" s="4"/>
    </row>
    <row r="83" spans="1:21" ht="15.6" x14ac:dyDescent="0.3">
      <c r="A83" s="29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4"/>
      <c r="U83" s="4"/>
    </row>
    <row r="84" spans="1:21" ht="15.6" x14ac:dyDescent="0.3">
      <c r="A84" s="29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4"/>
      <c r="U84" s="4"/>
    </row>
    <row r="85" spans="1:21" ht="15.6" x14ac:dyDescent="0.3">
      <c r="A85" s="29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4"/>
      <c r="U85" s="4"/>
    </row>
    <row r="86" spans="1:21" ht="15.6" x14ac:dyDescent="0.3">
      <c r="A86" s="29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4"/>
      <c r="U86" s="4"/>
    </row>
    <row r="87" spans="1:21" ht="15.6" x14ac:dyDescent="0.3">
      <c r="A87" s="29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4"/>
      <c r="U87" s="4"/>
    </row>
    <row r="88" spans="1:21" ht="15.6" x14ac:dyDescent="0.3">
      <c r="A88" s="29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4"/>
      <c r="U88" s="4"/>
    </row>
    <row r="89" spans="1:21" ht="15.6" x14ac:dyDescent="0.3">
      <c r="A89" s="29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4"/>
      <c r="U89" s="4"/>
    </row>
    <row r="90" spans="1:21" ht="15.6" x14ac:dyDescent="0.3">
      <c r="A90" s="29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4"/>
      <c r="U90" s="4"/>
    </row>
    <row r="91" spans="1:21" ht="15.6" x14ac:dyDescent="0.3">
      <c r="A91" s="29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4"/>
      <c r="U91" s="4"/>
    </row>
    <row r="92" spans="1:21" ht="15.6" x14ac:dyDescent="0.3">
      <c r="A92" s="29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4"/>
      <c r="U92" s="4"/>
    </row>
    <row r="93" spans="1:21" ht="15.6" x14ac:dyDescent="0.3">
      <c r="A93" s="29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4"/>
      <c r="U93" s="4"/>
    </row>
    <row r="94" spans="1:21" ht="15.6" x14ac:dyDescent="0.3">
      <c r="A94" s="29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4"/>
      <c r="U94" s="4"/>
    </row>
    <row r="95" spans="1:21" ht="15.6" x14ac:dyDescent="0.3">
      <c r="A95" s="29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4"/>
      <c r="U95" s="4"/>
    </row>
    <row r="96" spans="1:21" ht="15.6" x14ac:dyDescent="0.3">
      <c r="A96" s="29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4"/>
      <c r="U96" s="4"/>
    </row>
    <row r="97" spans="1:21" ht="15.6" x14ac:dyDescent="0.3">
      <c r="A97" s="29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4"/>
      <c r="U97" s="4"/>
    </row>
    <row r="98" spans="1:21" ht="15.6" x14ac:dyDescent="0.3">
      <c r="A98" s="29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4"/>
      <c r="U98" s="4"/>
    </row>
    <row r="99" spans="1:21" ht="15.6" x14ac:dyDescent="0.3">
      <c r="A99" s="29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4"/>
      <c r="U99" s="4"/>
    </row>
    <row r="100" spans="1:21" ht="15.6" x14ac:dyDescent="0.3">
      <c r="A100" s="29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4"/>
      <c r="U100" s="4"/>
    </row>
    <row r="101" spans="1:21" ht="15.6" x14ac:dyDescent="0.3">
      <c r="A101" s="29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4"/>
      <c r="U101" s="4"/>
    </row>
    <row r="102" spans="1:21" ht="15.6" x14ac:dyDescent="0.3">
      <c r="A102" s="29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4"/>
      <c r="U102" s="4"/>
    </row>
    <row r="103" spans="1:21" ht="15.6" x14ac:dyDescent="0.3">
      <c r="A103" s="29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4"/>
      <c r="U103" s="4"/>
    </row>
    <row r="104" spans="1:21" ht="15.6" x14ac:dyDescent="0.3">
      <c r="A104" s="29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4"/>
      <c r="U104" s="4"/>
    </row>
    <row r="105" spans="1:21" ht="15.6" x14ac:dyDescent="0.3">
      <c r="A105" s="29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4"/>
      <c r="U105" s="4"/>
    </row>
    <row r="106" spans="1:21" ht="15.6" x14ac:dyDescent="0.3">
      <c r="A106" s="29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4"/>
      <c r="U106" s="4"/>
    </row>
    <row r="107" spans="1:21" ht="15.6" x14ac:dyDescent="0.3">
      <c r="A107" s="29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4"/>
      <c r="U107" s="4"/>
    </row>
    <row r="108" spans="1:21" ht="15.6" x14ac:dyDescent="0.3">
      <c r="A108" s="29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4"/>
      <c r="U108" s="4"/>
    </row>
    <row r="109" spans="1:21" ht="15.6" x14ac:dyDescent="0.3">
      <c r="A109" s="29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4"/>
      <c r="U109" s="4"/>
    </row>
    <row r="110" spans="1:21" ht="15.6" x14ac:dyDescent="0.3">
      <c r="A110" s="29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4"/>
      <c r="U110" s="4"/>
    </row>
    <row r="111" spans="1:21" ht="15.6" x14ac:dyDescent="0.3">
      <c r="A111" s="29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4"/>
      <c r="U111" s="4"/>
    </row>
    <row r="112" spans="1:21" ht="15.6" x14ac:dyDescent="0.3">
      <c r="A112" s="29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4"/>
      <c r="U112" s="4"/>
    </row>
    <row r="113" spans="1:21" ht="15.6" x14ac:dyDescent="0.3">
      <c r="A113" s="29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4"/>
      <c r="U113" s="4"/>
    </row>
    <row r="114" spans="1:21" ht="15.6" x14ac:dyDescent="0.3">
      <c r="A114" s="29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4"/>
      <c r="U114" s="4"/>
    </row>
    <row r="115" spans="1:21" ht="15.6" x14ac:dyDescent="0.3">
      <c r="A115" s="29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4"/>
      <c r="U115" s="4"/>
    </row>
    <row r="116" spans="1:21" ht="15.6" x14ac:dyDescent="0.3">
      <c r="A116" s="29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4"/>
      <c r="U116" s="4"/>
    </row>
    <row r="117" spans="1:21" ht="15.6" x14ac:dyDescent="0.3">
      <c r="A117" s="29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4"/>
      <c r="U117" s="4"/>
    </row>
    <row r="118" spans="1:21" ht="15.6" x14ac:dyDescent="0.3">
      <c r="A118" s="29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4"/>
      <c r="U118" s="4"/>
    </row>
    <row r="119" spans="1:21" ht="15.6" x14ac:dyDescent="0.3">
      <c r="A119" s="29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4"/>
      <c r="U119" s="4"/>
    </row>
    <row r="120" spans="1:21" ht="15.6" x14ac:dyDescent="0.3">
      <c r="A120" s="29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4"/>
      <c r="U120" s="4"/>
    </row>
    <row r="121" spans="1:21" ht="15.6" x14ac:dyDescent="0.3">
      <c r="A121" s="29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4"/>
      <c r="U121" s="4"/>
    </row>
    <row r="122" spans="1:21" ht="15.6" x14ac:dyDescent="0.3">
      <c r="A122" s="29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4"/>
      <c r="U122" s="4"/>
    </row>
    <row r="123" spans="1:21" ht="15.6" x14ac:dyDescent="0.3">
      <c r="A123" s="29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4"/>
      <c r="U123" s="4"/>
    </row>
    <row r="124" spans="1:21" ht="15.6" x14ac:dyDescent="0.3">
      <c r="A124" s="29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4"/>
      <c r="U124" s="4"/>
    </row>
    <row r="125" spans="1:21" ht="15.6" x14ac:dyDescent="0.3">
      <c r="A125" s="29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4"/>
      <c r="U125" s="4"/>
    </row>
    <row r="126" spans="1:21" ht="15.6" x14ac:dyDescent="0.3">
      <c r="A126" s="29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4"/>
      <c r="U126" s="4"/>
    </row>
    <row r="127" spans="1:21" ht="15.6" x14ac:dyDescent="0.3">
      <c r="A127" s="29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4"/>
      <c r="U127" s="4"/>
    </row>
    <row r="128" spans="1:21" ht="15.6" x14ac:dyDescent="0.3">
      <c r="A128" s="29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4"/>
      <c r="U128" s="4"/>
    </row>
    <row r="129" spans="1:21" ht="15.6" x14ac:dyDescent="0.3">
      <c r="A129" s="29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4"/>
      <c r="U129" s="4"/>
    </row>
    <row r="130" spans="1:21" ht="15.6" x14ac:dyDescent="0.3">
      <c r="A130" s="29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4"/>
      <c r="U130" s="4"/>
    </row>
    <row r="131" spans="1:21" ht="15.6" x14ac:dyDescent="0.3">
      <c r="A131" s="29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4"/>
      <c r="U131" s="4"/>
    </row>
    <row r="132" spans="1:21" ht="15.6" x14ac:dyDescent="0.3">
      <c r="A132" s="29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4"/>
      <c r="U132" s="4"/>
    </row>
    <row r="133" spans="1:21" ht="15.6" x14ac:dyDescent="0.3">
      <c r="A133" s="29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4"/>
      <c r="U133" s="4"/>
    </row>
    <row r="134" spans="1:21" ht="15.6" x14ac:dyDescent="0.3">
      <c r="A134" s="29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4"/>
      <c r="U134" s="4"/>
    </row>
    <row r="135" spans="1:21" ht="15.6" x14ac:dyDescent="0.3">
      <c r="A135" s="29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4"/>
      <c r="U135" s="4"/>
    </row>
    <row r="136" spans="1:21" ht="15.6" x14ac:dyDescent="0.3">
      <c r="A136" s="29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4"/>
      <c r="U136" s="4"/>
    </row>
    <row r="137" spans="1:21" ht="15.6" x14ac:dyDescent="0.3">
      <c r="A137" s="29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4"/>
      <c r="U137" s="4"/>
    </row>
    <row r="138" spans="1:21" ht="15.6" x14ac:dyDescent="0.3">
      <c r="A138" s="29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4"/>
      <c r="U138" s="4"/>
    </row>
    <row r="139" spans="1:21" ht="15.6" x14ac:dyDescent="0.3">
      <c r="A139" s="29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4"/>
      <c r="U139" s="4"/>
    </row>
    <row r="140" spans="1:21" ht="15.6" x14ac:dyDescent="0.3">
      <c r="A140" s="29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4"/>
      <c r="U140" s="4"/>
    </row>
    <row r="141" spans="1:21" ht="15.6" x14ac:dyDescent="0.3">
      <c r="A141" s="29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4"/>
      <c r="U141" s="4"/>
    </row>
    <row r="142" spans="1:21" ht="15.6" x14ac:dyDescent="0.3">
      <c r="A142" s="29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4"/>
      <c r="U142" s="4"/>
    </row>
    <row r="143" spans="1:21" ht="15.6" x14ac:dyDescent="0.3">
      <c r="A143" s="29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4"/>
      <c r="U143" s="4"/>
    </row>
    <row r="144" spans="1:21" ht="15.6" x14ac:dyDescent="0.3">
      <c r="A144" s="29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4"/>
      <c r="U144" s="4"/>
    </row>
    <row r="145" spans="1:21" ht="15.6" x14ac:dyDescent="0.3">
      <c r="A145" s="29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4"/>
      <c r="U145" s="4"/>
    </row>
    <row r="146" spans="1:21" ht="15.6" x14ac:dyDescent="0.3">
      <c r="A146" s="29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4"/>
      <c r="U146" s="4"/>
    </row>
    <row r="147" spans="1:21" ht="15.6" x14ac:dyDescent="0.3">
      <c r="A147" s="29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4"/>
      <c r="U147" s="4"/>
    </row>
    <row r="148" spans="1:21" ht="15.6" x14ac:dyDescent="0.3">
      <c r="A148" s="29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4"/>
      <c r="U148" s="4"/>
    </row>
    <row r="149" spans="1:21" ht="15.6" x14ac:dyDescent="0.3">
      <c r="A149" s="29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4"/>
      <c r="U149" s="4"/>
    </row>
    <row r="150" spans="1:21" ht="15.6" x14ac:dyDescent="0.3">
      <c r="A150" s="29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4"/>
      <c r="U150" s="4"/>
    </row>
    <row r="151" spans="1:21" ht="15.6" x14ac:dyDescent="0.3">
      <c r="A151" s="29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4"/>
      <c r="U151" s="4"/>
    </row>
    <row r="152" spans="1:21" ht="15.6" x14ac:dyDescent="0.3">
      <c r="A152" s="29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4"/>
      <c r="U152" s="4"/>
    </row>
    <row r="153" spans="1:21" ht="15.6" x14ac:dyDescent="0.3">
      <c r="A153" s="29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4"/>
      <c r="U153" s="4"/>
    </row>
    <row r="154" spans="1:21" ht="15.6" x14ac:dyDescent="0.3">
      <c r="A154" s="29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4"/>
      <c r="U154" s="4"/>
    </row>
    <row r="155" spans="1:21" ht="15.6" x14ac:dyDescent="0.3">
      <c r="A155" s="29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4"/>
      <c r="U155" s="4"/>
    </row>
    <row r="156" spans="1:21" ht="15.6" x14ac:dyDescent="0.3">
      <c r="A156" s="29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4"/>
      <c r="U156" s="4"/>
    </row>
    <row r="157" spans="1:21" ht="15.6" x14ac:dyDescent="0.3">
      <c r="A157" s="29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4"/>
      <c r="U157" s="4"/>
    </row>
    <row r="158" spans="1:21" ht="15.6" x14ac:dyDescent="0.3">
      <c r="A158" s="29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4"/>
      <c r="U158" s="4"/>
    </row>
    <row r="159" spans="1:21" ht="15.6" x14ac:dyDescent="0.3">
      <c r="A159" s="29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4"/>
      <c r="U159" s="4"/>
    </row>
    <row r="160" spans="1:21" ht="15.6" x14ac:dyDescent="0.3">
      <c r="A160" s="29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4"/>
      <c r="U160" s="4"/>
    </row>
    <row r="161" spans="1:21" ht="15.6" x14ac:dyDescent="0.3">
      <c r="A161" s="29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4"/>
      <c r="U161" s="4"/>
    </row>
    <row r="162" spans="1:21" ht="15.6" x14ac:dyDescent="0.3">
      <c r="A162" s="29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4"/>
      <c r="U162" s="4"/>
    </row>
    <row r="163" spans="1:21" ht="15.6" x14ac:dyDescent="0.3">
      <c r="A163" s="29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4"/>
      <c r="U163" s="4"/>
    </row>
    <row r="164" spans="1:21" ht="15.6" x14ac:dyDescent="0.3">
      <c r="A164" s="29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4"/>
      <c r="U164" s="4"/>
    </row>
    <row r="165" spans="1:21" ht="15.6" x14ac:dyDescent="0.3">
      <c r="A165" s="29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4"/>
      <c r="U165" s="4"/>
    </row>
    <row r="166" spans="1:21" ht="15.6" x14ac:dyDescent="0.3">
      <c r="A166" s="29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4"/>
      <c r="U166" s="4"/>
    </row>
    <row r="167" spans="1:21" ht="15.6" x14ac:dyDescent="0.3">
      <c r="A167" s="29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4"/>
      <c r="U167" s="4"/>
    </row>
    <row r="168" spans="1:21" ht="15.6" x14ac:dyDescent="0.3">
      <c r="A168" s="29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4"/>
      <c r="U168" s="4"/>
    </row>
    <row r="169" spans="1:21" ht="15.6" x14ac:dyDescent="0.3">
      <c r="A169" s="29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4"/>
      <c r="U169" s="4"/>
    </row>
    <row r="170" spans="1:21" ht="15.6" x14ac:dyDescent="0.3">
      <c r="A170" s="29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4"/>
      <c r="U170" s="4"/>
    </row>
    <row r="171" spans="1:21" ht="15.6" x14ac:dyDescent="0.3">
      <c r="A171" s="29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4"/>
      <c r="U171" s="4"/>
    </row>
    <row r="172" spans="1:21" ht="15.6" x14ac:dyDescent="0.3">
      <c r="A172" s="29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4"/>
      <c r="U172" s="4"/>
    </row>
    <row r="173" spans="1:21" ht="15.6" x14ac:dyDescent="0.3">
      <c r="A173" s="29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4"/>
      <c r="U173" s="4"/>
    </row>
    <row r="174" spans="1:21" ht="15.6" x14ac:dyDescent="0.3">
      <c r="A174" s="29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4"/>
      <c r="U174" s="4"/>
    </row>
    <row r="175" spans="1:21" ht="15.6" x14ac:dyDescent="0.3">
      <c r="A175" s="29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4"/>
      <c r="U175" s="4"/>
    </row>
    <row r="176" spans="1:21" ht="15.6" x14ac:dyDescent="0.3">
      <c r="A176" s="29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4"/>
      <c r="U176" s="4"/>
    </row>
    <row r="177" spans="1:21" ht="15.6" x14ac:dyDescent="0.3">
      <c r="A177" s="29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4"/>
      <c r="U177" s="4"/>
    </row>
    <row r="178" spans="1:21" ht="15.6" x14ac:dyDescent="0.3">
      <c r="A178" s="29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4"/>
      <c r="U178" s="4"/>
    </row>
    <row r="179" spans="1:21" ht="15.6" x14ac:dyDescent="0.3">
      <c r="A179" s="29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4"/>
      <c r="U179" s="4"/>
    </row>
    <row r="180" spans="1:21" ht="15.6" x14ac:dyDescent="0.3">
      <c r="A180" s="29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4"/>
      <c r="U180" s="4"/>
    </row>
    <row r="181" spans="1:21" ht="15.6" x14ac:dyDescent="0.3">
      <c r="A181" s="29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4"/>
      <c r="U181" s="4"/>
    </row>
    <row r="182" spans="1:21" ht="15.6" x14ac:dyDescent="0.3">
      <c r="A182" s="29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4"/>
      <c r="U182" s="4"/>
    </row>
    <row r="183" spans="1:21" ht="15.6" x14ac:dyDescent="0.3">
      <c r="A183" s="29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4"/>
      <c r="U183" s="4"/>
    </row>
    <row r="184" spans="1:21" ht="15.6" x14ac:dyDescent="0.3">
      <c r="A184" s="29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4"/>
      <c r="U184" s="4"/>
    </row>
    <row r="185" spans="1:21" ht="15.6" x14ac:dyDescent="0.3">
      <c r="A185" s="29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4"/>
      <c r="U185" s="4"/>
    </row>
    <row r="186" spans="1:21" ht="15.6" x14ac:dyDescent="0.3">
      <c r="A186" s="29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4"/>
      <c r="U186" s="4"/>
    </row>
    <row r="187" spans="1:21" ht="15.6" x14ac:dyDescent="0.3">
      <c r="A187" s="29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4"/>
      <c r="U187" s="4"/>
    </row>
    <row r="188" spans="1:21" ht="15.6" x14ac:dyDescent="0.3">
      <c r="A188" s="29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4"/>
      <c r="U188" s="4"/>
    </row>
    <row r="189" spans="1:21" ht="15.6" x14ac:dyDescent="0.3">
      <c r="A189" s="29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4"/>
      <c r="U189" s="4"/>
    </row>
    <row r="190" spans="1:21" ht="15.6" x14ac:dyDescent="0.3">
      <c r="A190" s="29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4"/>
      <c r="U190" s="4"/>
    </row>
    <row r="191" spans="1:21" ht="15.6" x14ac:dyDescent="0.3">
      <c r="A191" s="29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4"/>
      <c r="U191" s="4"/>
    </row>
    <row r="192" spans="1:21" ht="15.6" x14ac:dyDescent="0.3">
      <c r="A192" s="29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4"/>
      <c r="U192" s="4"/>
    </row>
    <row r="193" spans="1:21" ht="15.6" x14ac:dyDescent="0.3">
      <c r="A193" s="29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4"/>
      <c r="U193" s="4"/>
    </row>
    <row r="194" spans="1:21" ht="15.6" x14ac:dyDescent="0.3">
      <c r="A194" s="29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4"/>
      <c r="U194" s="4"/>
    </row>
    <row r="195" spans="1:21" ht="15.6" x14ac:dyDescent="0.3">
      <c r="A195" s="29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4"/>
      <c r="U195" s="4"/>
    </row>
    <row r="196" spans="1:21" ht="15.6" x14ac:dyDescent="0.3">
      <c r="A196" s="29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4"/>
      <c r="U196" s="4"/>
    </row>
    <row r="197" spans="1:21" ht="15.6" x14ac:dyDescent="0.3">
      <c r="A197" s="29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4"/>
      <c r="U197" s="4"/>
    </row>
    <row r="198" spans="1:21" ht="15.6" x14ac:dyDescent="0.3">
      <c r="A198" s="29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4"/>
      <c r="U198" s="4"/>
    </row>
    <row r="199" spans="1:21" ht="15.6" x14ac:dyDescent="0.3">
      <c r="A199" s="29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4"/>
      <c r="U199" s="4"/>
    </row>
    <row r="200" spans="1:21" ht="15.6" x14ac:dyDescent="0.3">
      <c r="A200" s="29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4"/>
      <c r="U200" s="4"/>
    </row>
    <row r="201" spans="1:21" ht="15.6" x14ac:dyDescent="0.3">
      <c r="A201" s="29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4"/>
      <c r="U201" s="4"/>
    </row>
    <row r="202" spans="1:21" ht="15.6" x14ac:dyDescent="0.3">
      <c r="A202" s="29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4"/>
      <c r="U202" s="4"/>
    </row>
    <row r="203" spans="1:21" ht="15.6" x14ac:dyDescent="0.3">
      <c r="A203" s="29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4"/>
      <c r="U203" s="4"/>
    </row>
    <row r="204" spans="1:21" ht="15.6" x14ac:dyDescent="0.3">
      <c r="A204" s="29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4"/>
      <c r="U204" s="4"/>
    </row>
    <row r="205" spans="1:21" ht="15.6" x14ac:dyDescent="0.3">
      <c r="A205" s="29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4"/>
      <c r="U205" s="4"/>
    </row>
    <row r="206" spans="1:21" ht="15.6" x14ac:dyDescent="0.3">
      <c r="A206" s="29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4"/>
      <c r="U206" s="4"/>
    </row>
    <row r="207" spans="1:21" ht="15.6" x14ac:dyDescent="0.3">
      <c r="A207" s="29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4"/>
      <c r="U207" s="4"/>
    </row>
    <row r="208" spans="1:21" ht="15.6" x14ac:dyDescent="0.3">
      <c r="A208" s="29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4"/>
      <c r="U208" s="4"/>
    </row>
    <row r="209" spans="1:21" ht="15.6" x14ac:dyDescent="0.3">
      <c r="A209" s="29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4"/>
      <c r="U209" s="4"/>
    </row>
    <row r="210" spans="1:21" ht="15.6" x14ac:dyDescent="0.3">
      <c r="A210" s="29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4"/>
      <c r="U210" s="4"/>
    </row>
    <row r="211" spans="1:21" ht="15.6" x14ac:dyDescent="0.3">
      <c r="A211" s="29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4"/>
      <c r="U211" s="4"/>
    </row>
    <row r="212" spans="1:21" ht="15.6" x14ac:dyDescent="0.3">
      <c r="A212" s="29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4"/>
      <c r="U212" s="4"/>
    </row>
    <row r="213" spans="1:21" ht="15.6" x14ac:dyDescent="0.3">
      <c r="A213" s="29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4"/>
      <c r="U213" s="4"/>
    </row>
    <row r="214" spans="1:21" ht="15.6" x14ac:dyDescent="0.3">
      <c r="A214" s="29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4"/>
      <c r="U214" s="4"/>
    </row>
    <row r="215" spans="1:21" ht="15.6" x14ac:dyDescent="0.3">
      <c r="A215" s="29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4"/>
      <c r="U215" s="4"/>
    </row>
    <row r="216" spans="1:21" ht="15.6" x14ac:dyDescent="0.3">
      <c r="A216" s="29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4"/>
      <c r="U216" s="4"/>
    </row>
    <row r="217" spans="1:21" ht="15.6" x14ac:dyDescent="0.3">
      <c r="A217" s="29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4"/>
      <c r="U217" s="4"/>
    </row>
    <row r="218" spans="1:21" ht="15.6" x14ac:dyDescent="0.3">
      <c r="A218" s="29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4"/>
      <c r="U218" s="4"/>
    </row>
    <row r="219" spans="1:21" ht="15.6" x14ac:dyDescent="0.3">
      <c r="A219" s="29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4"/>
      <c r="U219" s="4"/>
    </row>
    <row r="220" spans="1:21" ht="15.6" x14ac:dyDescent="0.3">
      <c r="A220" s="29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4"/>
      <c r="U220" s="4"/>
    </row>
    <row r="221" spans="1:21" ht="15.6" x14ac:dyDescent="0.3">
      <c r="A221" s="29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4"/>
      <c r="U221" s="4"/>
    </row>
    <row r="222" spans="1:21" ht="15.6" x14ac:dyDescent="0.3">
      <c r="A222" s="29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4"/>
      <c r="U222" s="4"/>
    </row>
    <row r="223" spans="1:21" ht="15.6" x14ac:dyDescent="0.3">
      <c r="A223" s="29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4"/>
      <c r="U223" s="4"/>
    </row>
    <row r="224" spans="1:21" ht="15.6" x14ac:dyDescent="0.3">
      <c r="A224" s="29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4"/>
      <c r="U224" s="4"/>
    </row>
    <row r="225" spans="1:21" ht="15.6" x14ac:dyDescent="0.3">
      <c r="A225" s="29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4"/>
      <c r="U225" s="4"/>
    </row>
    <row r="226" spans="1:21" ht="15.6" x14ac:dyDescent="0.3">
      <c r="A226" s="29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4"/>
      <c r="U226" s="4"/>
    </row>
    <row r="227" spans="1:21" ht="15.6" x14ac:dyDescent="0.3">
      <c r="A227" s="29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4"/>
      <c r="U227" s="4"/>
    </row>
    <row r="228" spans="1:21" x14ac:dyDescent="0.3">
      <c r="A228" s="3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x14ac:dyDescent="0.3">
      <c r="A229" s="3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x14ac:dyDescent="0.3">
      <c r="A230" s="3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x14ac:dyDescent="0.3">
      <c r="A231" s="3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x14ac:dyDescent="0.3">
      <c r="A232" s="3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x14ac:dyDescent="0.3">
      <c r="A233" s="3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x14ac:dyDescent="0.3">
      <c r="A234" s="3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x14ac:dyDescent="0.3">
      <c r="A235" s="3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x14ac:dyDescent="0.3">
      <c r="A236" s="3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x14ac:dyDescent="0.3">
      <c r="A237" s="3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x14ac:dyDescent="0.3">
      <c r="A238" s="3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x14ac:dyDescent="0.3">
      <c r="A239" s="3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x14ac:dyDescent="0.3">
      <c r="A240" s="3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x14ac:dyDescent="0.3">
      <c r="A241" s="3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x14ac:dyDescent="0.3">
      <c r="A242" s="3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x14ac:dyDescent="0.3">
      <c r="A243" s="3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x14ac:dyDescent="0.3">
      <c r="A244" s="3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x14ac:dyDescent="0.3">
      <c r="A245" s="3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x14ac:dyDescent="0.3">
      <c r="A246" s="3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x14ac:dyDescent="0.3">
      <c r="A247" s="3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x14ac:dyDescent="0.3">
      <c r="A248" s="3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x14ac:dyDescent="0.3">
      <c r="A249" s="3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x14ac:dyDescent="0.3">
      <c r="A250" s="3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x14ac:dyDescent="0.3">
      <c r="A251" s="3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x14ac:dyDescent="0.3">
      <c r="A252" s="3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x14ac:dyDescent="0.3">
      <c r="A253" s="3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x14ac:dyDescent="0.3">
      <c r="A254" s="3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x14ac:dyDescent="0.3">
      <c r="A255" s="3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x14ac:dyDescent="0.3">
      <c r="A256" s="3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x14ac:dyDescent="0.3">
      <c r="A257" s="3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x14ac:dyDescent="0.3">
      <c r="A258" s="3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x14ac:dyDescent="0.3">
      <c r="A259" s="3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x14ac:dyDescent="0.3">
      <c r="A260" s="3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x14ac:dyDescent="0.3">
      <c r="A261" s="3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x14ac:dyDescent="0.3">
      <c r="A262" s="3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x14ac:dyDescent="0.3">
      <c r="A263" s="3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x14ac:dyDescent="0.3">
      <c r="A264" s="3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x14ac:dyDescent="0.3">
      <c r="A265" s="3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x14ac:dyDescent="0.3">
      <c r="A266" s="3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x14ac:dyDescent="0.3">
      <c r="A267" s="3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x14ac:dyDescent="0.3">
      <c r="A268" s="3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x14ac:dyDescent="0.3">
      <c r="A269" s="3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x14ac:dyDescent="0.3">
      <c r="A270" s="3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x14ac:dyDescent="0.3">
      <c r="A271" s="3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x14ac:dyDescent="0.3">
      <c r="A272" s="3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x14ac:dyDescent="0.3">
      <c r="A273" s="3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x14ac:dyDescent="0.3">
      <c r="A274" s="3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x14ac:dyDescent="0.3">
      <c r="A275" s="3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x14ac:dyDescent="0.3">
      <c r="A276" s="3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x14ac:dyDescent="0.3">
      <c r="A277" s="3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x14ac:dyDescent="0.3">
      <c r="A278" s="3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x14ac:dyDescent="0.3">
      <c r="A279" s="3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x14ac:dyDescent="0.3">
      <c r="A280" s="3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x14ac:dyDescent="0.3">
      <c r="A281" s="3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x14ac:dyDescent="0.3">
      <c r="A282" s="3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x14ac:dyDescent="0.3">
      <c r="A283" s="3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x14ac:dyDescent="0.3">
      <c r="A284" s="3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x14ac:dyDescent="0.3">
      <c r="A285" s="3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x14ac:dyDescent="0.3">
      <c r="A286" s="3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x14ac:dyDescent="0.3">
      <c r="A287" s="3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x14ac:dyDescent="0.3">
      <c r="A288" s="3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x14ac:dyDescent="0.3">
      <c r="A289" s="3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x14ac:dyDescent="0.3">
      <c r="A290" s="3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x14ac:dyDescent="0.3">
      <c r="A291" s="3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x14ac:dyDescent="0.3">
      <c r="A292" s="3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x14ac:dyDescent="0.3">
      <c r="A293" s="3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x14ac:dyDescent="0.3">
      <c r="A294" s="3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x14ac:dyDescent="0.3">
      <c r="A295" s="3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x14ac:dyDescent="0.3">
      <c r="A296" s="3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x14ac:dyDescent="0.3">
      <c r="A297" s="3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x14ac:dyDescent="0.3">
      <c r="A298" s="3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x14ac:dyDescent="0.3">
      <c r="A299" s="3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x14ac:dyDescent="0.3">
      <c r="A300" s="3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x14ac:dyDescent="0.3">
      <c r="A301" s="3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x14ac:dyDescent="0.3">
      <c r="A302" s="3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x14ac:dyDescent="0.3">
      <c r="A303" s="3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x14ac:dyDescent="0.3">
      <c r="A304" s="3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x14ac:dyDescent="0.3">
      <c r="A305" s="3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x14ac:dyDescent="0.3">
      <c r="A306" s="3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x14ac:dyDescent="0.3">
      <c r="A307" s="3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x14ac:dyDescent="0.3">
      <c r="A308" s="3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x14ac:dyDescent="0.3">
      <c r="A309" s="3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x14ac:dyDescent="0.3">
      <c r="A310" s="3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x14ac:dyDescent="0.3">
      <c r="A311" s="3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x14ac:dyDescent="0.3">
      <c r="A312" s="3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x14ac:dyDescent="0.3">
      <c r="A313" s="3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x14ac:dyDescent="0.3">
      <c r="A314" s="3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x14ac:dyDescent="0.3">
      <c r="A315" s="3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x14ac:dyDescent="0.3">
      <c r="A316" s="3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x14ac:dyDescent="0.3">
      <c r="A317" s="3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x14ac:dyDescent="0.3">
      <c r="A318" s="3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x14ac:dyDescent="0.3">
      <c r="A319" s="30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x14ac:dyDescent="0.3">
      <c r="A320" s="3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x14ac:dyDescent="0.3">
      <c r="A321" s="30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x14ac:dyDescent="0.3">
      <c r="A322" s="3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x14ac:dyDescent="0.3">
      <c r="A323" s="30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x14ac:dyDescent="0.3">
      <c r="A324" s="3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x14ac:dyDescent="0.3">
      <c r="A325" s="3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x14ac:dyDescent="0.3">
      <c r="A326" s="3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x14ac:dyDescent="0.3">
      <c r="A327" s="3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x14ac:dyDescent="0.3">
      <c r="A328" s="3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x14ac:dyDescent="0.3">
      <c r="A329" s="3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x14ac:dyDescent="0.3">
      <c r="A330" s="3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x14ac:dyDescent="0.3">
      <c r="A331" s="3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x14ac:dyDescent="0.3">
      <c r="A332" s="3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x14ac:dyDescent="0.3">
      <c r="A333" s="3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x14ac:dyDescent="0.3">
      <c r="A334" s="3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x14ac:dyDescent="0.3">
      <c r="A335" s="3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x14ac:dyDescent="0.3">
      <c r="A336" s="3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x14ac:dyDescent="0.3">
      <c r="A337" s="3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x14ac:dyDescent="0.3">
      <c r="A338" s="3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x14ac:dyDescent="0.3">
      <c r="A339" s="3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x14ac:dyDescent="0.3">
      <c r="A340" s="3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x14ac:dyDescent="0.3">
      <c r="A341" s="3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x14ac:dyDescent="0.3">
      <c r="A342" s="3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x14ac:dyDescent="0.3">
      <c r="A343" s="3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x14ac:dyDescent="0.3">
      <c r="A344" s="3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x14ac:dyDescent="0.3">
      <c r="A345" s="3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x14ac:dyDescent="0.3">
      <c r="A346" s="3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x14ac:dyDescent="0.3">
      <c r="A347" s="3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x14ac:dyDescent="0.3">
      <c r="A348" s="3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x14ac:dyDescent="0.3">
      <c r="A349" s="3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x14ac:dyDescent="0.3">
      <c r="A350" s="3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x14ac:dyDescent="0.3">
      <c r="A351" s="3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x14ac:dyDescent="0.3">
      <c r="A352" s="3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x14ac:dyDescent="0.3">
      <c r="A353" s="3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x14ac:dyDescent="0.3">
      <c r="A354" s="3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x14ac:dyDescent="0.3">
      <c r="A355" s="3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x14ac:dyDescent="0.3">
      <c r="A356" s="3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x14ac:dyDescent="0.3">
      <c r="A357" s="3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x14ac:dyDescent="0.3">
      <c r="A358" s="3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x14ac:dyDescent="0.3">
      <c r="A359" s="3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x14ac:dyDescent="0.3">
      <c r="A360" s="3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x14ac:dyDescent="0.3">
      <c r="A361" s="3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x14ac:dyDescent="0.3">
      <c r="A362" s="3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x14ac:dyDescent="0.3">
      <c r="A363" s="3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x14ac:dyDescent="0.3">
      <c r="A364" s="3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x14ac:dyDescent="0.3">
      <c r="A365" s="3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x14ac:dyDescent="0.3">
      <c r="A366" s="3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x14ac:dyDescent="0.3">
      <c r="A367" s="3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x14ac:dyDescent="0.3">
      <c r="A368" s="3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x14ac:dyDescent="0.3">
      <c r="A369" s="3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x14ac:dyDescent="0.3">
      <c r="A370" s="3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x14ac:dyDescent="0.3">
      <c r="A371" s="3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x14ac:dyDescent="0.3">
      <c r="A372" s="3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x14ac:dyDescent="0.3">
      <c r="A373" s="3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x14ac:dyDescent="0.3">
      <c r="A374" s="3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x14ac:dyDescent="0.3">
      <c r="A375" s="3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x14ac:dyDescent="0.3">
      <c r="A376" s="3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x14ac:dyDescent="0.3">
      <c r="A377" s="3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x14ac:dyDescent="0.3">
      <c r="A378" s="3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x14ac:dyDescent="0.3">
      <c r="A379" s="3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x14ac:dyDescent="0.3">
      <c r="A380" s="3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x14ac:dyDescent="0.3">
      <c r="A381" s="3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x14ac:dyDescent="0.3">
      <c r="A382" s="3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x14ac:dyDescent="0.3">
      <c r="A383" s="3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x14ac:dyDescent="0.3">
      <c r="A384" s="3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x14ac:dyDescent="0.3">
      <c r="A385" s="3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x14ac:dyDescent="0.3">
      <c r="A386" s="3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x14ac:dyDescent="0.3">
      <c r="A387" s="3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x14ac:dyDescent="0.3">
      <c r="A388" s="3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x14ac:dyDescent="0.3">
      <c r="A389" s="3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x14ac:dyDescent="0.3">
      <c r="A390" s="3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x14ac:dyDescent="0.3">
      <c r="A391" s="3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x14ac:dyDescent="0.3">
      <c r="A392" s="3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x14ac:dyDescent="0.3">
      <c r="A393" s="3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x14ac:dyDescent="0.3">
      <c r="A394" s="3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x14ac:dyDescent="0.3">
      <c r="A395" s="3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x14ac:dyDescent="0.3">
      <c r="A396" s="3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x14ac:dyDescent="0.3">
      <c r="A397" s="3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x14ac:dyDescent="0.3">
      <c r="A398" s="3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x14ac:dyDescent="0.3">
      <c r="A399" s="3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x14ac:dyDescent="0.3">
      <c r="A400" s="3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x14ac:dyDescent="0.3">
      <c r="A401" s="3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x14ac:dyDescent="0.3">
      <c r="A402" s="3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x14ac:dyDescent="0.3">
      <c r="A403" s="3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x14ac:dyDescent="0.3">
      <c r="A404" s="3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x14ac:dyDescent="0.3">
      <c r="A405" s="3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x14ac:dyDescent="0.3">
      <c r="A406" s="3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x14ac:dyDescent="0.3">
      <c r="A407" s="3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x14ac:dyDescent="0.3">
      <c r="A408" s="3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x14ac:dyDescent="0.3">
      <c r="A409" s="3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x14ac:dyDescent="0.3">
      <c r="A410" s="3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x14ac:dyDescent="0.3">
      <c r="A411" s="3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x14ac:dyDescent="0.3">
      <c r="A412" s="3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x14ac:dyDescent="0.3">
      <c r="A413" s="3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x14ac:dyDescent="0.3">
      <c r="A414" s="3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x14ac:dyDescent="0.3">
      <c r="A415" s="3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x14ac:dyDescent="0.3">
      <c r="A416" s="3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x14ac:dyDescent="0.3">
      <c r="A417" s="3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 x14ac:dyDescent="0.3">
      <c r="A418" s="3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:21" x14ac:dyDescent="0.3">
      <c r="A419" s="3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 x14ac:dyDescent="0.3">
      <c r="A420" s="3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:21" x14ac:dyDescent="0.3">
      <c r="A421" s="3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 x14ac:dyDescent="0.3">
      <c r="A422" s="3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:21" x14ac:dyDescent="0.3">
      <c r="A423" s="3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 x14ac:dyDescent="0.3">
      <c r="A424" s="3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 x14ac:dyDescent="0.3">
      <c r="A425" s="3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 x14ac:dyDescent="0.3">
      <c r="A426" s="3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1:21" x14ac:dyDescent="0.3">
      <c r="A427" s="3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:21" x14ac:dyDescent="0.3">
      <c r="A428" s="3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1:21" x14ac:dyDescent="0.3">
      <c r="A429" s="3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:21" x14ac:dyDescent="0.3">
      <c r="A430" s="3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1:21" x14ac:dyDescent="0.3">
      <c r="A431" s="3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:21" x14ac:dyDescent="0.3">
      <c r="A432" s="3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1:21" x14ac:dyDescent="0.3">
      <c r="A433" s="3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 x14ac:dyDescent="0.3">
      <c r="A434" s="3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:21" x14ac:dyDescent="0.3">
      <c r="A435" s="3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 x14ac:dyDescent="0.3">
      <c r="A436" s="3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:21" x14ac:dyDescent="0.3">
      <c r="A437" s="3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 x14ac:dyDescent="0.3">
      <c r="A438" s="3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 x14ac:dyDescent="0.3">
      <c r="A439" s="3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 x14ac:dyDescent="0.3">
      <c r="A440" s="3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:21" x14ac:dyDescent="0.3">
      <c r="A441" s="3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 x14ac:dyDescent="0.3">
      <c r="A442" s="3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1:21" x14ac:dyDescent="0.3">
      <c r="A443" s="3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:21" x14ac:dyDescent="0.3">
      <c r="A444" s="3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1:21" x14ac:dyDescent="0.3">
      <c r="A445" s="3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:21" x14ac:dyDescent="0.3">
      <c r="A446" s="3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1:21" x14ac:dyDescent="0.3">
      <c r="A447" s="3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 x14ac:dyDescent="0.3">
      <c r="A448" s="3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1:21" x14ac:dyDescent="0.3">
      <c r="A449" s="3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:21" x14ac:dyDescent="0.3">
      <c r="A450" s="3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1:21" x14ac:dyDescent="0.3">
      <c r="A451" s="3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:21" x14ac:dyDescent="0.3">
      <c r="A452" s="3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1:21" x14ac:dyDescent="0.3">
      <c r="A453" s="3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:21" x14ac:dyDescent="0.3">
      <c r="A454" s="3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1:21" x14ac:dyDescent="0.3">
      <c r="A455" s="3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:21" x14ac:dyDescent="0.3">
      <c r="A456" s="3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1:21" x14ac:dyDescent="0.3">
      <c r="A457" s="3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:21" x14ac:dyDescent="0.3">
      <c r="A458" s="3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1:21" x14ac:dyDescent="0.3">
      <c r="A459" s="3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:21" x14ac:dyDescent="0.3">
      <c r="A460" s="3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1:21" x14ac:dyDescent="0.3">
      <c r="A461" s="3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1:21" x14ac:dyDescent="0.3">
      <c r="A462" s="3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1:21" x14ac:dyDescent="0.3">
      <c r="A463" s="3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1:21" x14ac:dyDescent="0.3">
      <c r="A464" s="3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1:21" x14ac:dyDescent="0.3">
      <c r="A465" s="3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1:21" x14ac:dyDescent="0.3">
      <c r="A466" s="3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1:21" x14ac:dyDescent="0.3">
      <c r="A467" s="3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1:21" x14ac:dyDescent="0.3">
      <c r="A468" s="3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1:21" x14ac:dyDescent="0.3">
      <c r="A469" s="3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1:21" x14ac:dyDescent="0.3">
      <c r="A470" s="3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1:21" x14ac:dyDescent="0.3">
      <c r="A471" s="3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1:21" x14ac:dyDescent="0.3">
      <c r="A472" s="3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1:21" x14ac:dyDescent="0.3">
      <c r="A473" s="3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1:21" x14ac:dyDescent="0.3">
      <c r="A474" s="3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1:21" x14ac:dyDescent="0.3">
      <c r="A475" s="3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1:21" x14ac:dyDescent="0.3">
      <c r="A476" s="3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1:21" x14ac:dyDescent="0.3">
      <c r="A477" s="3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1:21" x14ac:dyDescent="0.3">
      <c r="A478" s="3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1:21" x14ac:dyDescent="0.3">
      <c r="A479" s="3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1:21" x14ac:dyDescent="0.3">
      <c r="A480" s="3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1:21" x14ac:dyDescent="0.3">
      <c r="A481" s="3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:21" x14ac:dyDescent="0.3">
      <c r="A482" s="3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1:21" x14ac:dyDescent="0.3">
      <c r="A483" s="3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1:21" x14ac:dyDescent="0.3">
      <c r="A484" s="3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1:21" x14ac:dyDescent="0.3">
      <c r="A485" s="3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1:21" x14ac:dyDescent="0.3">
      <c r="A486" s="3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1:21" x14ac:dyDescent="0.3">
      <c r="A487" s="3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:21" x14ac:dyDescent="0.3">
      <c r="A488" s="3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1:21" x14ac:dyDescent="0.3">
      <c r="A489" s="3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1:21" x14ac:dyDescent="0.3">
      <c r="A490" s="3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1:21" x14ac:dyDescent="0.3">
      <c r="A491" s="3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1:21" x14ac:dyDescent="0.3">
      <c r="A492" s="3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1:21" x14ac:dyDescent="0.3">
      <c r="A493" s="3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:21" x14ac:dyDescent="0.3">
      <c r="A494" s="3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1:21" x14ac:dyDescent="0.3">
      <c r="A495" s="3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:21" x14ac:dyDescent="0.3">
      <c r="A496" s="3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1:21" x14ac:dyDescent="0.3">
      <c r="A497" s="3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1:21" x14ac:dyDescent="0.3">
      <c r="A498" s="3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1:21" x14ac:dyDescent="0.3">
      <c r="A499" s="3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1:21" x14ac:dyDescent="0.3">
      <c r="A500" s="3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1:21" x14ac:dyDescent="0.3">
      <c r="A501" s="30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1:21" x14ac:dyDescent="0.3">
      <c r="A502" s="30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1:21" x14ac:dyDescent="0.3">
      <c r="A503" s="30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1:21" x14ac:dyDescent="0.3">
      <c r="A504" s="30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1:21" x14ac:dyDescent="0.3">
      <c r="A505" s="30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1:21" x14ac:dyDescent="0.3">
      <c r="A506" s="30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1:21" x14ac:dyDescent="0.3">
      <c r="A507" s="30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1:21" x14ac:dyDescent="0.3">
      <c r="A508" s="30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1:21" x14ac:dyDescent="0.3">
      <c r="A509" s="30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1:21" x14ac:dyDescent="0.3">
      <c r="A510" s="30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1:21" x14ac:dyDescent="0.3">
      <c r="A511" s="30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1:21" x14ac:dyDescent="0.3">
      <c r="A512" s="30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1:21" x14ac:dyDescent="0.3">
      <c r="A513" s="30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1:21" x14ac:dyDescent="0.3">
      <c r="A514" s="30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1:21" x14ac:dyDescent="0.3">
      <c r="A515" s="30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1:21" x14ac:dyDescent="0.3">
      <c r="A516" s="30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1:21" x14ac:dyDescent="0.3">
      <c r="A517" s="30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1:21" x14ac:dyDescent="0.3">
      <c r="A518" s="30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1:21" x14ac:dyDescent="0.3">
      <c r="A519" s="30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1:21" x14ac:dyDescent="0.3">
      <c r="A520" s="30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1:21" x14ac:dyDescent="0.3">
      <c r="A521" s="30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spans="1:21" x14ac:dyDescent="0.3">
      <c r="A522" s="30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spans="1:21" x14ac:dyDescent="0.3">
      <c r="A523" s="30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 x14ac:dyDescent="0.3">
      <c r="A524" s="30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 x14ac:dyDescent="0.3">
      <c r="A525" s="30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 x14ac:dyDescent="0.3">
      <c r="A526" s="30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 x14ac:dyDescent="0.3">
      <c r="A527" s="30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 x14ac:dyDescent="0.3">
      <c r="A528" s="30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1:21" x14ac:dyDescent="0.3">
      <c r="A529" s="30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1:21" x14ac:dyDescent="0.3">
      <c r="A530" s="30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1:21" x14ac:dyDescent="0.3">
      <c r="A531" s="30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1:21" x14ac:dyDescent="0.3">
      <c r="A532" s="30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1:21" x14ac:dyDescent="0.3">
      <c r="A533" s="30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1:21" x14ac:dyDescent="0.3">
      <c r="A534" s="30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1:21" x14ac:dyDescent="0.3">
      <c r="A535" s="30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1:21" x14ac:dyDescent="0.3">
      <c r="A536" s="30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1:21" x14ac:dyDescent="0.3">
      <c r="A537" s="30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1:21" x14ac:dyDescent="0.3">
      <c r="A538" s="30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1:21" x14ac:dyDescent="0.3">
      <c r="A539" s="30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1:21" x14ac:dyDescent="0.3">
      <c r="A540" s="30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spans="1:21" x14ac:dyDescent="0.3">
      <c r="A541" s="30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spans="1:21" x14ac:dyDescent="0.3">
      <c r="A542" s="30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spans="1:21" x14ac:dyDescent="0.3">
      <c r="A543" s="30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spans="1:21" x14ac:dyDescent="0.3">
      <c r="A544" s="30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spans="1:21" x14ac:dyDescent="0.3">
      <c r="A545" s="30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spans="1:21" x14ac:dyDescent="0.3">
      <c r="A546" s="30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spans="1:21" x14ac:dyDescent="0.3">
      <c r="A547" s="30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spans="1:21" x14ac:dyDescent="0.3">
      <c r="A548" s="30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spans="1:21" x14ac:dyDescent="0.3">
      <c r="A549" s="30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spans="1:21" x14ac:dyDescent="0.3">
      <c r="A550" s="30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spans="1:21" x14ac:dyDescent="0.3">
      <c r="A551" s="30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spans="1:21" x14ac:dyDescent="0.3">
      <c r="A552" s="30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spans="1:21" x14ac:dyDescent="0.3">
      <c r="A553" s="30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spans="1:21" x14ac:dyDescent="0.3">
      <c r="A554" s="30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spans="1:21" x14ac:dyDescent="0.3">
      <c r="A555" s="30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spans="1:21" x14ac:dyDescent="0.3">
      <c r="A556" s="30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spans="1:21" x14ac:dyDescent="0.3">
      <c r="A557" s="30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spans="1:21" x14ac:dyDescent="0.3">
      <c r="A558" s="30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spans="1:21" x14ac:dyDescent="0.3">
      <c r="A559" s="30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spans="1:21" x14ac:dyDescent="0.3">
      <c r="A560" s="30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spans="1:21" x14ac:dyDescent="0.3">
      <c r="A561" s="30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spans="1:21" x14ac:dyDescent="0.3">
      <c r="A562" s="30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spans="1:21" x14ac:dyDescent="0.3">
      <c r="A563" s="30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spans="1:21" x14ac:dyDescent="0.3">
      <c r="A564" s="30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spans="1:21" x14ac:dyDescent="0.3">
      <c r="A565" s="30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spans="1:21" x14ac:dyDescent="0.3">
      <c r="A566" s="30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spans="1:21" x14ac:dyDescent="0.3">
      <c r="A567" s="30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spans="1:21" x14ac:dyDescent="0.3">
      <c r="A568" s="30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spans="1:21" x14ac:dyDescent="0.3">
      <c r="A569" s="30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spans="1:21" x14ac:dyDescent="0.3">
      <c r="A570" s="30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spans="1:21" x14ac:dyDescent="0.3">
      <c r="A571" s="30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spans="1:21" x14ac:dyDescent="0.3">
      <c r="A572" s="30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spans="1:21" x14ac:dyDescent="0.3">
      <c r="A573" s="30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spans="1:21" x14ac:dyDescent="0.3">
      <c r="A574" s="30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spans="1:21" x14ac:dyDescent="0.3">
      <c r="A575" s="30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spans="1:21" x14ac:dyDescent="0.3">
      <c r="A576" s="30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spans="1:21" x14ac:dyDescent="0.3">
      <c r="A577" s="30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spans="1:21" x14ac:dyDescent="0.3">
      <c r="A578" s="30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spans="1:21" x14ac:dyDescent="0.3">
      <c r="A579" s="30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spans="1:21" x14ac:dyDescent="0.3">
      <c r="A580" s="30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spans="1:21" x14ac:dyDescent="0.3">
      <c r="A581" s="30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spans="1:21" x14ac:dyDescent="0.3">
      <c r="A582" s="30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spans="1:21" x14ac:dyDescent="0.3">
      <c r="A583" s="30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spans="1:21" x14ac:dyDescent="0.3">
      <c r="A584" s="30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spans="1:21" x14ac:dyDescent="0.3">
      <c r="A585" s="30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spans="1:21" x14ac:dyDescent="0.3">
      <c r="A586" s="30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spans="1:21" x14ac:dyDescent="0.3">
      <c r="A587" s="30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spans="1:21" x14ac:dyDescent="0.3">
      <c r="A588" s="30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spans="1:21" x14ac:dyDescent="0.3">
      <c r="A589" s="30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spans="1:21" x14ac:dyDescent="0.3">
      <c r="A590" s="30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spans="1:21" x14ac:dyDescent="0.3">
      <c r="A591" s="30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spans="1:21" x14ac:dyDescent="0.3">
      <c r="A592" s="30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spans="1:21" x14ac:dyDescent="0.3">
      <c r="A593" s="30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1:21" x14ac:dyDescent="0.3">
      <c r="A594" s="30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spans="1:21" x14ac:dyDescent="0.3">
      <c r="A595" s="30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1:21" x14ac:dyDescent="0.3">
      <c r="A596" s="30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spans="1:21" x14ac:dyDescent="0.3">
      <c r="A597" s="30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1:21" x14ac:dyDescent="0.3">
      <c r="A598" s="30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spans="1:21" x14ac:dyDescent="0.3">
      <c r="A599" s="30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1:21" x14ac:dyDescent="0.3">
      <c r="A600" s="30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spans="1:21" x14ac:dyDescent="0.3">
      <c r="A601" s="30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1:21" x14ac:dyDescent="0.3">
      <c r="A602" s="30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spans="1:21" x14ac:dyDescent="0.3">
      <c r="A603" s="30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1:21" x14ac:dyDescent="0.3">
      <c r="A604" s="30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spans="1:21" x14ac:dyDescent="0.3">
      <c r="A605" s="30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spans="1:21" x14ac:dyDescent="0.3">
      <c r="A606" s="30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spans="1:21" x14ac:dyDescent="0.3">
      <c r="A607" s="30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spans="1:21" x14ac:dyDescent="0.3">
      <c r="A608" s="30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spans="1:21" x14ac:dyDescent="0.3">
      <c r="A609" s="30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spans="1:21" x14ac:dyDescent="0.3">
      <c r="A610" s="30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spans="1:21" x14ac:dyDescent="0.3">
      <c r="A611" s="30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spans="1:21" x14ac:dyDescent="0.3">
      <c r="A612" s="30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spans="1:21" x14ac:dyDescent="0.3">
      <c r="A613" s="30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spans="1:21" x14ac:dyDescent="0.3">
      <c r="A614" s="30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spans="1:21" x14ac:dyDescent="0.3">
      <c r="A615" s="30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spans="1:21" x14ac:dyDescent="0.3">
      <c r="A616" s="30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spans="1:21" x14ac:dyDescent="0.3">
      <c r="A617" s="30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spans="1:21" x14ac:dyDescent="0.3">
      <c r="A618" s="30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spans="1:21" x14ac:dyDescent="0.3">
      <c r="A619" s="30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spans="1:21" x14ac:dyDescent="0.3">
      <c r="A620" s="30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spans="1:21" x14ac:dyDescent="0.3">
      <c r="A621" s="30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spans="1:21" x14ac:dyDescent="0.3">
      <c r="A622" s="30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spans="1:21" x14ac:dyDescent="0.3">
      <c r="A623" s="30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spans="1:21" x14ac:dyDescent="0.3">
      <c r="A624" s="30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spans="1:21" x14ac:dyDescent="0.3">
      <c r="A625" s="30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spans="1:21" x14ac:dyDescent="0.3">
      <c r="A626" s="30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spans="1:21" x14ac:dyDescent="0.3">
      <c r="A627" s="30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spans="1:21" x14ac:dyDescent="0.3">
      <c r="A628" s="30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spans="1:21" x14ac:dyDescent="0.3">
      <c r="A629" s="30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spans="1:21" x14ac:dyDescent="0.3">
      <c r="A630" s="30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spans="1:21" x14ac:dyDescent="0.3">
      <c r="A631" s="30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spans="1:21" x14ac:dyDescent="0.3">
      <c r="A632" s="30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spans="1:21" x14ac:dyDescent="0.3">
      <c r="A633" s="30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spans="1:21" x14ac:dyDescent="0.3">
      <c r="A634" s="30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spans="1:21" x14ac:dyDescent="0.3">
      <c r="A635" s="30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spans="1:21" x14ac:dyDescent="0.3">
      <c r="A636" s="30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spans="1:21" x14ac:dyDescent="0.3">
      <c r="A637" s="30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spans="1:21" x14ac:dyDescent="0.3">
      <c r="A638" s="30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spans="1:21" x14ac:dyDescent="0.3">
      <c r="A639" s="30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spans="1:21" x14ac:dyDescent="0.3">
      <c r="A640" s="30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spans="1:21" x14ac:dyDescent="0.3">
      <c r="A641" s="30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spans="1:21" x14ac:dyDescent="0.3">
      <c r="A642" s="30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spans="1:21" x14ac:dyDescent="0.3">
      <c r="A643" s="30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spans="1:21" x14ac:dyDescent="0.3">
      <c r="A644" s="30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spans="1:21" x14ac:dyDescent="0.3">
      <c r="A645" s="30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spans="1:21" x14ac:dyDescent="0.3">
      <c r="A646" s="30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spans="1:21" x14ac:dyDescent="0.3">
      <c r="A647" s="30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spans="1:21" x14ac:dyDescent="0.3">
      <c r="A648" s="30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spans="1:21" x14ac:dyDescent="0.3">
      <c r="A649" s="30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spans="1:21" x14ac:dyDescent="0.3">
      <c r="A650" s="30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spans="1:21" x14ac:dyDescent="0.3">
      <c r="A651" s="30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spans="1:21" x14ac:dyDescent="0.3">
      <c r="A652" s="30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spans="1:21" x14ac:dyDescent="0.3">
      <c r="A653" s="30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spans="1:21" x14ac:dyDescent="0.3">
      <c r="A654" s="30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spans="1:21" x14ac:dyDescent="0.3">
      <c r="A655" s="30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spans="1:21" x14ac:dyDescent="0.3">
      <c r="A656" s="30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spans="1:21" x14ac:dyDescent="0.3">
      <c r="A657" s="30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spans="1:21" x14ac:dyDescent="0.3">
      <c r="A658" s="30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spans="1:21" x14ac:dyDescent="0.3">
      <c r="A659" s="30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spans="1:21" x14ac:dyDescent="0.3">
      <c r="A660" s="30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spans="1:21" x14ac:dyDescent="0.3">
      <c r="A661" s="30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spans="1:21" x14ac:dyDescent="0.3">
      <c r="A662" s="30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spans="1:21" x14ac:dyDescent="0.3">
      <c r="A663" s="30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spans="1:21" x14ac:dyDescent="0.3">
      <c r="A664" s="30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spans="1:21" x14ac:dyDescent="0.3">
      <c r="A665" s="30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spans="1:21" x14ac:dyDescent="0.3">
      <c r="A666" s="30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spans="1:21" x14ac:dyDescent="0.3">
      <c r="A667" s="30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spans="1:21" x14ac:dyDescent="0.3">
      <c r="A668" s="30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spans="1:21" x14ac:dyDescent="0.3">
      <c r="A669" s="30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spans="1:21" x14ac:dyDescent="0.3">
      <c r="A670" s="30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spans="1:21" x14ac:dyDescent="0.3">
      <c r="A671" s="30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spans="1:21" x14ac:dyDescent="0.3">
      <c r="A672" s="30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spans="1:21" x14ac:dyDescent="0.3">
      <c r="A673" s="30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spans="1:21" x14ac:dyDescent="0.3">
      <c r="A674" s="30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spans="1:21" x14ac:dyDescent="0.3">
      <c r="A675" s="30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spans="1:21" x14ac:dyDescent="0.3">
      <c r="A676" s="30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spans="1:21" x14ac:dyDescent="0.3">
      <c r="A677" s="30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spans="1:21" x14ac:dyDescent="0.3">
      <c r="A678" s="30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spans="1:21" x14ac:dyDescent="0.3">
      <c r="A679" s="30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spans="1:21" x14ac:dyDescent="0.3">
      <c r="A680" s="30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spans="1:21" x14ac:dyDescent="0.3">
      <c r="A681" s="30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spans="1:21" x14ac:dyDescent="0.3">
      <c r="A682" s="30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spans="1:21" x14ac:dyDescent="0.3">
      <c r="A683" s="30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spans="1:21" x14ac:dyDescent="0.3">
      <c r="A684" s="30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spans="1:21" x14ac:dyDescent="0.3">
      <c r="A685" s="30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spans="1:21" x14ac:dyDescent="0.3">
      <c r="A686" s="30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spans="1:21" x14ac:dyDescent="0.3">
      <c r="A687" s="30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spans="1:21" x14ac:dyDescent="0.3">
      <c r="A688" s="30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spans="1:21" x14ac:dyDescent="0.3">
      <c r="A689" s="30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spans="1:21" x14ac:dyDescent="0.3">
      <c r="A690" s="30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spans="1:21" x14ac:dyDescent="0.3">
      <c r="A691" s="30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spans="1:21" x14ac:dyDescent="0.3">
      <c r="A692" s="30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spans="1:21" x14ac:dyDescent="0.3">
      <c r="A693" s="30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spans="1:21" x14ac:dyDescent="0.3">
      <c r="A694" s="30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spans="1:21" x14ac:dyDescent="0.3">
      <c r="A695" s="30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spans="1:21" x14ac:dyDescent="0.3">
      <c r="A696" s="30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spans="1:21" x14ac:dyDescent="0.3">
      <c r="A697" s="30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spans="1:21" x14ac:dyDescent="0.3">
      <c r="A698" s="30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spans="1:21" x14ac:dyDescent="0.3">
      <c r="A699" s="30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spans="1:21" x14ac:dyDescent="0.3">
      <c r="A700" s="30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spans="1:21" x14ac:dyDescent="0.3">
      <c r="A701" s="30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spans="1:21" x14ac:dyDescent="0.3">
      <c r="A702" s="30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spans="1:21" x14ac:dyDescent="0.3">
      <c r="A703" s="30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spans="1:21" x14ac:dyDescent="0.3">
      <c r="A704" s="30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spans="1:21" x14ac:dyDescent="0.3">
      <c r="A705" s="30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spans="1:21" x14ac:dyDescent="0.3">
      <c r="A706" s="30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spans="1:21" x14ac:dyDescent="0.3">
      <c r="A707" s="30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spans="1:21" x14ac:dyDescent="0.3">
      <c r="A708" s="30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spans="1:21" x14ac:dyDescent="0.3">
      <c r="A709" s="30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spans="1:21" x14ac:dyDescent="0.3">
      <c r="A710" s="30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spans="1:21" x14ac:dyDescent="0.3">
      <c r="A711" s="30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spans="1:21" x14ac:dyDescent="0.3">
      <c r="A712" s="30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spans="1:21" x14ac:dyDescent="0.3">
      <c r="A713" s="30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spans="1:21" x14ac:dyDescent="0.3">
      <c r="A714" s="30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spans="1:21" x14ac:dyDescent="0.3">
      <c r="A715" s="30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spans="1:21" x14ac:dyDescent="0.3">
      <c r="A716" s="30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spans="1:21" x14ac:dyDescent="0.3">
      <c r="A717" s="30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spans="1:21" x14ac:dyDescent="0.3">
      <c r="A718" s="30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spans="1:21" x14ac:dyDescent="0.3">
      <c r="A719" s="30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spans="1:21" x14ac:dyDescent="0.3">
      <c r="A720" s="30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spans="1:21" x14ac:dyDescent="0.3">
      <c r="A721" s="30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spans="1:21" x14ac:dyDescent="0.3">
      <c r="A722" s="30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spans="1:21" x14ac:dyDescent="0.3">
      <c r="A723" s="30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spans="1:21" x14ac:dyDescent="0.3">
      <c r="A724" s="30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spans="1:21" x14ac:dyDescent="0.3">
      <c r="A725" s="30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spans="1:21" x14ac:dyDescent="0.3">
      <c r="A726" s="30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spans="1:21" x14ac:dyDescent="0.3">
      <c r="A727" s="30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spans="1:21" x14ac:dyDescent="0.3">
      <c r="A728" s="30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spans="1:21" x14ac:dyDescent="0.3">
      <c r="A729" s="30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spans="1:21" x14ac:dyDescent="0.3">
      <c r="A730" s="30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spans="1:21" x14ac:dyDescent="0.3">
      <c r="A731" s="30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spans="1:21" x14ac:dyDescent="0.3">
      <c r="A732" s="30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spans="1:21" x14ac:dyDescent="0.3">
      <c r="A733" s="30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spans="1:21" x14ac:dyDescent="0.3">
      <c r="A734" s="30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spans="1:21" x14ac:dyDescent="0.3">
      <c r="A735" s="30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spans="1:21" x14ac:dyDescent="0.3">
      <c r="A736" s="30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spans="1:21" x14ac:dyDescent="0.3">
      <c r="A737" s="30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spans="1:21" x14ac:dyDescent="0.3">
      <c r="A738" s="30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spans="1:21" x14ac:dyDescent="0.3">
      <c r="A739" s="30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spans="1:21" x14ac:dyDescent="0.3">
      <c r="A740" s="30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spans="1:21" x14ac:dyDescent="0.3">
      <c r="A741" s="30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spans="1:21" x14ac:dyDescent="0.3">
      <c r="A742" s="30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spans="1:21" x14ac:dyDescent="0.3">
      <c r="A743" s="30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spans="1:21" x14ac:dyDescent="0.3">
      <c r="A744" s="30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spans="1:21" x14ac:dyDescent="0.3">
      <c r="A745" s="30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spans="1:21" x14ac:dyDescent="0.3">
      <c r="A746" s="30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spans="1:21" x14ac:dyDescent="0.3">
      <c r="A747" s="30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spans="1:21" x14ac:dyDescent="0.3">
      <c r="A748" s="30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spans="1:21" x14ac:dyDescent="0.3">
      <c r="A749" s="30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spans="1:21" x14ac:dyDescent="0.3">
      <c r="A750" s="30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spans="1:21" x14ac:dyDescent="0.3">
      <c r="A751" s="30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spans="1:21" x14ac:dyDescent="0.3">
      <c r="A752" s="30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spans="1:21" x14ac:dyDescent="0.3">
      <c r="A753" s="30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spans="1:21" x14ac:dyDescent="0.3">
      <c r="A754" s="30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spans="1:21" x14ac:dyDescent="0.3">
      <c r="A755" s="30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spans="1:21" x14ac:dyDescent="0.3">
      <c r="A756" s="30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spans="1:21" x14ac:dyDescent="0.3">
      <c r="A757" s="30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spans="1:21" x14ac:dyDescent="0.3">
      <c r="A758" s="30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spans="1:21" x14ac:dyDescent="0.3">
      <c r="A759" s="30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spans="1:21" x14ac:dyDescent="0.3">
      <c r="A760" s="30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spans="1:21" x14ac:dyDescent="0.3">
      <c r="A761" s="30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spans="1:21" x14ac:dyDescent="0.3">
      <c r="A762" s="30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spans="1:21" x14ac:dyDescent="0.3">
      <c r="A763" s="30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spans="1:21" x14ac:dyDescent="0.3">
      <c r="A764" s="30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spans="1:21" x14ac:dyDescent="0.3">
      <c r="A765" s="30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spans="1:21" x14ac:dyDescent="0.3">
      <c r="A766" s="30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spans="1:21" x14ac:dyDescent="0.3">
      <c r="A767" s="30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spans="1:21" x14ac:dyDescent="0.3">
      <c r="A768" s="30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spans="1:21" x14ac:dyDescent="0.3">
      <c r="A769" s="30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spans="1:21" x14ac:dyDescent="0.3">
      <c r="A770" s="30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spans="1:21" x14ac:dyDescent="0.3">
      <c r="A771" s="30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spans="1:21" x14ac:dyDescent="0.3">
      <c r="A772" s="30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spans="1:21" x14ac:dyDescent="0.3">
      <c r="A773" s="30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spans="1:21" x14ac:dyDescent="0.3">
      <c r="A774" s="30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spans="1:21" x14ac:dyDescent="0.3">
      <c r="A775" s="30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spans="1:21" x14ac:dyDescent="0.3">
      <c r="A776" s="30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spans="1:21" x14ac:dyDescent="0.3">
      <c r="A777" s="30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spans="1:21" x14ac:dyDescent="0.3">
      <c r="A778" s="30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spans="1:21" x14ac:dyDescent="0.3">
      <c r="A779" s="30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spans="1:21" x14ac:dyDescent="0.3">
      <c r="A780" s="30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spans="1:21" x14ac:dyDescent="0.3">
      <c r="A781" s="30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spans="1:21" x14ac:dyDescent="0.3">
      <c r="A782" s="30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spans="1:21" x14ac:dyDescent="0.3">
      <c r="A783" s="30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spans="1:21" x14ac:dyDescent="0.3">
      <c r="A784" s="30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spans="1:21" x14ac:dyDescent="0.3">
      <c r="A785" s="30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spans="1:21" x14ac:dyDescent="0.3">
      <c r="A786" s="30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spans="1:21" x14ac:dyDescent="0.3">
      <c r="A787" s="30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spans="1:21" x14ac:dyDescent="0.3">
      <c r="A788" s="30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spans="1:21" x14ac:dyDescent="0.3">
      <c r="A789" s="30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spans="1:21" x14ac:dyDescent="0.3">
      <c r="A790" s="30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spans="1:21" x14ac:dyDescent="0.3">
      <c r="A791" s="30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spans="1:21" x14ac:dyDescent="0.3">
      <c r="A792" s="30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spans="1:21" x14ac:dyDescent="0.3">
      <c r="A793" s="30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spans="1:21" x14ac:dyDescent="0.3">
      <c r="A794" s="30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spans="1:21" x14ac:dyDescent="0.3">
      <c r="A795" s="30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spans="1:21" x14ac:dyDescent="0.3">
      <c r="A796" s="30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spans="1:21" x14ac:dyDescent="0.3">
      <c r="A797" s="30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spans="1:21" x14ac:dyDescent="0.3">
      <c r="A798" s="30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spans="1:21" x14ac:dyDescent="0.3">
      <c r="A799" s="30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spans="1:21" x14ac:dyDescent="0.3">
      <c r="A800" s="30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spans="1:21" x14ac:dyDescent="0.3">
      <c r="A801" s="30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spans="1:21" x14ac:dyDescent="0.3">
      <c r="A802" s="30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spans="1:21" x14ac:dyDescent="0.3">
      <c r="A803" s="30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spans="1:21" x14ac:dyDescent="0.3">
      <c r="A804" s="30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spans="1:21" x14ac:dyDescent="0.3">
      <c r="A805" s="30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spans="1:21" x14ac:dyDescent="0.3">
      <c r="A806" s="30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spans="1:21" x14ac:dyDescent="0.3">
      <c r="A807" s="30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spans="1:21" x14ac:dyDescent="0.3">
      <c r="A808" s="30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spans="1:21" x14ac:dyDescent="0.3">
      <c r="A809" s="30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spans="1:21" x14ac:dyDescent="0.3">
      <c r="A810" s="30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spans="1:21" x14ac:dyDescent="0.3">
      <c r="A811" s="30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spans="1:21" x14ac:dyDescent="0.3">
      <c r="A812" s="30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spans="1:21" x14ac:dyDescent="0.3">
      <c r="A813" s="30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spans="1:21" x14ac:dyDescent="0.3">
      <c r="A814" s="30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spans="1:21" x14ac:dyDescent="0.3">
      <c r="A815" s="30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spans="1:21" x14ac:dyDescent="0.3">
      <c r="A816" s="30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spans="1:21" x14ac:dyDescent="0.3">
      <c r="A817" s="30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spans="1:21" x14ac:dyDescent="0.3">
      <c r="A818" s="30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spans="1:21" x14ac:dyDescent="0.3">
      <c r="A819" s="30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spans="1:21" x14ac:dyDescent="0.3">
      <c r="A820" s="30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spans="1:21" x14ac:dyDescent="0.3">
      <c r="A821" s="30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spans="1:21" x14ac:dyDescent="0.3">
      <c r="A822" s="30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spans="1:21" x14ac:dyDescent="0.3">
      <c r="A823" s="30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spans="1:21" x14ac:dyDescent="0.3">
      <c r="A824" s="30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spans="1:21" x14ac:dyDescent="0.3">
      <c r="A825" s="30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spans="1:21" x14ac:dyDescent="0.3">
      <c r="A826" s="30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spans="1:21" x14ac:dyDescent="0.3">
      <c r="A827" s="30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spans="1:21" x14ac:dyDescent="0.3">
      <c r="A828" s="30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spans="1:21" x14ac:dyDescent="0.3">
      <c r="A829" s="30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spans="1:21" x14ac:dyDescent="0.3">
      <c r="A830" s="30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spans="1:21" x14ac:dyDescent="0.3">
      <c r="A831" s="30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spans="1:21" x14ac:dyDescent="0.3">
      <c r="A832" s="30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spans="1:21" x14ac:dyDescent="0.3">
      <c r="A833" s="30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spans="1:21" x14ac:dyDescent="0.3">
      <c r="A834" s="30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spans="1:21" x14ac:dyDescent="0.3">
      <c r="A835" s="30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spans="1:21" x14ac:dyDescent="0.3">
      <c r="A836" s="30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spans="1:21" x14ac:dyDescent="0.3">
      <c r="A837" s="30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spans="1:21" x14ac:dyDescent="0.3">
      <c r="A838" s="30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spans="1:21" x14ac:dyDescent="0.3">
      <c r="A839" s="30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spans="1:21" x14ac:dyDescent="0.3">
      <c r="A840" s="30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spans="1:21" x14ac:dyDescent="0.3">
      <c r="A841" s="30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spans="1:21" x14ac:dyDescent="0.3">
      <c r="A842" s="30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spans="1:21" x14ac:dyDescent="0.3">
      <c r="A843" s="30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spans="1:21" x14ac:dyDescent="0.3">
      <c r="A844" s="30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spans="1:21" x14ac:dyDescent="0.3">
      <c r="A845" s="30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spans="1:21" x14ac:dyDescent="0.3">
      <c r="A846" s="30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spans="1:21" x14ac:dyDescent="0.3">
      <c r="A847" s="30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spans="1:21" x14ac:dyDescent="0.3">
      <c r="A848" s="30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spans="1:21" x14ac:dyDescent="0.3">
      <c r="A849" s="30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spans="1:21" x14ac:dyDescent="0.3">
      <c r="A850" s="30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spans="1:21" x14ac:dyDescent="0.3">
      <c r="A851" s="30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spans="1:21" x14ac:dyDescent="0.3">
      <c r="A852" s="30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spans="1:21" x14ac:dyDescent="0.3">
      <c r="A853" s="30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spans="1:21" x14ac:dyDescent="0.3">
      <c r="A854" s="30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spans="1:21" x14ac:dyDescent="0.3">
      <c r="A855" s="30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spans="1:21" x14ac:dyDescent="0.3">
      <c r="A856" s="30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spans="1:21" x14ac:dyDescent="0.3">
      <c r="A857" s="30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spans="1:21" x14ac:dyDescent="0.3">
      <c r="A858" s="30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spans="1:21" x14ac:dyDescent="0.3">
      <c r="A859" s="30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spans="1:21" x14ac:dyDescent="0.3">
      <c r="A860" s="30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spans="1:21" x14ac:dyDescent="0.3">
      <c r="A861" s="30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spans="1:21" x14ac:dyDescent="0.3">
      <c r="A862" s="30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spans="1:21" x14ac:dyDescent="0.3">
      <c r="A863" s="30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spans="1:21" x14ac:dyDescent="0.3">
      <c r="A864" s="30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spans="1:21" x14ac:dyDescent="0.3">
      <c r="A865" s="30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spans="1:21" x14ac:dyDescent="0.3">
      <c r="A866" s="30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spans="1:21" x14ac:dyDescent="0.3">
      <c r="A867" s="30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spans="1:21" x14ac:dyDescent="0.3">
      <c r="A868" s="30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spans="1:21" x14ac:dyDescent="0.3">
      <c r="A869" s="30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spans="1:21" x14ac:dyDescent="0.3">
      <c r="A870" s="30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spans="1:21" x14ac:dyDescent="0.3">
      <c r="A871" s="30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spans="1:21" x14ac:dyDescent="0.3">
      <c r="A872" s="30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spans="1:21" x14ac:dyDescent="0.3">
      <c r="A873" s="30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spans="1:21" x14ac:dyDescent="0.3">
      <c r="A874" s="30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spans="1:21" x14ac:dyDescent="0.3">
      <c r="A875" s="30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spans="1:21" x14ac:dyDescent="0.3">
      <c r="A876" s="30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spans="1:21" x14ac:dyDescent="0.3">
      <c r="A877" s="30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spans="1:21" x14ac:dyDescent="0.3">
      <c r="A878" s="30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spans="1:21" x14ac:dyDescent="0.3">
      <c r="A879" s="30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spans="1:21" x14ac:dyDescent="0.3">
      <c r="A880" s="30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spans="1:21" x14ac:dyDescent="0.3">
      <c r="A881" s="30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spans="1:21" x14ac:dyDescent="0.3">
      <c r="A882" s="30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spans="1:21" x14ac:dyDescent="0.3">
      <c r="A883" s="30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spans="1:21" x14ac:dyDescent="0.3">
      <c r="A884" s="30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spans="1:21" x14ac:dyDescent="0.3">
      <c r="A885" s="30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spans="1:21" x14ac:dyDescent="0.3">
      <c r="A886" s="30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spans="1:21" x14ac:dyDescent="0.3">
      <c r="A887" s="30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spans="1:21" x14ac:dyDescent="0.3">
      <c r="A888" s="30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1:21" x14ac:dyDescent="0.3">
      <c r="A889" s="30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1:21" x14ac:dyDescent="0.3">
      <c r="A890" s="30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1:21" x14ac:dyDescent="0.3">
      <c r="A891" s="30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spans="1:21" x14ac:dyDescent="0.3">
      <c r="A892" s="30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spans="1:21" x14ac:dyDescent="0.3">
      <c r="A893" s="30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spans="1:21" x14ac:dyDescent="0.3">
      <c r="A894" s="30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spans="1:21" x14ac:dyDescent="0.3">
      <c r="A895" s="30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spans="1:21" x14ac:dyDescent="0.3">
      <c r="A896" s="30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spans="1:21" x14ac:dyDescent="0.3">
      <c r="A897" s="30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spans="1:21" x14ac:dyDescent="0.3">
      <c r="A898" s="30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spans="1:21" x14ac:dyDescent="0.3">
      <c r="A899" s="30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spans="1:21" x14ac:dyDescent="0.3">
      <c r="A900" s="30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spans="1:21" x14ac:dyDescent="0.3">
      <c r="A901" s="30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spans="1:21" x14ac:dyDescent="0.3">
      <c r="A902" s="30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spans="1:21" x14ac:dyDescent="0.3">
      <c r="A903" s="30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spans="1:21" x14ac:dyDescent="0.3">
      <c r="A904" s="30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spans="1:21" x14ac:dyDescent="0.3">
      <c r="A905" s="30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spans="1:21" x14ac:dyDescent="0.3">
      <c r="A906" s="30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spans="1:21" x14ac:dyDescent="0.3">
      <c r="A907" s="30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spans="1:21" x14ac:dyDescent="0.3">
      <c r="A908" s="30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spans="1:21" x14ac:dyDescent="0.3">
      <c r="A909" s="30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spans="1:21" x14ac:dyDescent="0.3">
      <c r="A910" s="30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spans="1:21" x14ac:dyDescent="0.3">
      <c r="A911" s="30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spans="1:21" x14ac:dyDescent="0.3">
      <c r="A912" s="30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spans="1:21" x14ac:dyDescent="0.3">
      <c r="A913" s="30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spans="1:21" x14ac:dyDescent="0.3">
      <c r="A914" s="30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spans="1:21" x14ac:dyDescent="0.3">
      <c r="A915" s="30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spans="1:21" x14ac:dyDescent="0.3">
      <c r="A916" s="30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spans="1:21" x14ac:dyDescent="0.3">
      <c r="A917" s="30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spans="1:21" x14ac:dyDescent="0.3">
      <c r="A918" s="30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spans="1:21" x14ac:dyDescent="0.3">
      <c r="A919" s="30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spans="1:21" x14ac:dyDescent="0.3">
      <c r="A920" s="30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spans="1:21" x14ac:dyDescent="0.3">
      <c r="A921" s="30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spans="1:21" x14ac:dyDescent="0.3">
      <c r="A922" s="30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spans="1:21" x14ac:dyDescent="0.3">
      <c r="A923" s="30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spans="1:21" x14ac:dyDescent="0.3">
      <c r="A924" s="30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spans="1:21" x14ac:dyDescent="0.3">
      <c r="A925" s="30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spans="1:21" x14ac:dyDescent="0.3">
      <c r="A926" s="30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spans="1:21" x14ac:dyDescent="0.3">
      <c r="A927" s="30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spans="1:21" x14ac:dyDescent="0.3">
      <c r="A928" s="30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spans="1:21" x14ac:dyDescent="0.3">
      <c r="A929" s="30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spans="1:21" x14ac:dyDescent="0.3">
      <c r="A930" s="30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spans="1:21" x14ac:dyDescent="0.3">
      <c r="A931" s="30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spans="1:21" x14ac:dyDescent="0.3">
      <c r="A932" s="30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spans="1:21" x14ac:dyDescent="0.3">
      <c r="A933" s="30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spans="1:21" x14ac:dyDescent="0.3">
      <c r="A934" s="30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spans="1:21" x14ac:dyDescent="0.3">
      <c r="A935" s="30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spans="1:21" x14ac:dyDescent="0.3">
      <c r="A936" s="30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spans="1:21" x14ac:dyDescent="0.3">
      <c r="A937" s="30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spans="1:21" x14ac:dyDescent="0.3">
      <c r="A938" s="30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spans="1:21" x14ac:dyDescent="0.3">
      <c r="A939" s="30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spans="1:21" x14ac:dyDescent="0.3">
      <c r="A940" s="30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spans="1:21" x14ac:dyDescent="0.3">
      <c r="A941" s="30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spans="1:21" x14ac:dyDescent="0.3">
      <c r="A942" s="30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spans="1:21" x14ac:dyDescent="0.3">
      <c r="A943" s="30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spans="1:21" x14ac:dyDescent="0.3">
      <c r="A944" s="30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spans="1:21" x14ac:dyDescent="0.3">
      <c r="A945" s="30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spans="1:21" x14ac:dyDescent="0.3">
      <c r="A946" s="30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spans="1:21" x14ac:dyDescent="0.3">
      <c r="A947" s="30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spans="1:21" x14ac:dyDescent="0.3">
      <c r="A948" s="30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spans="1:21" x14ac:dyDescent="0.3">
      <c r="A949" s="30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spans="1:21" x14ac:dyDescent="0.3">
      <c r="A950" s="30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spans="1:21" x14ac:dyDescent="0.3">
      <c r="A951" s="30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spans="1:21" x14ac:dyDescent="0.3">
      <c r="A952" s="30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spans="1:21" x14ac:dyDescent="0.3">
      <c r="A953" s="30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spans="1:21" x14ac:dyDescent="0.3">
      <c r="A954" s="30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spans="1:21" x14ac:dyDescent="0.3">
      <c r="A955" s="30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spans="1:21" x14ac:dyDescent="0.3">
      <c r="A956" s="30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spans="1:21" x14ac:dyDescent="0.3">
      <c r="A957" s="30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spans="1:21" x14ac:dyDescent="0.3">
      <c r="A958" s="30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spans="1:21" x14ac:dyDescent="0.3">
      <c r="A959" s="30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spans="1:21" x14ac:dyDescent="0.3">
      <c r="A960" s="30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spans="1:21" x14ac:dyDescent="0.3">
      <c r="A961" s="30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spans="1:21" x14ac:dyDescent="0.3">
      <c r="A962" s="30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spans="1:21" x14ac:dyDescent="0.3">
      <c r="A963" s="30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spans="1:21" x14ac:dyDescent="0.3">
      <c r="A964" s="30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spans="1:21" x14ac:dyDescent="0.3">
      <c r="A965" s="30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spans="1:21" x14ac:dyDescent="0.3">
      <c r="A966" s="30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spans="1:21" x14ac:dyDescent="0.3">
      <c r="A967" s="30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spans="1:21" x14ac:dyDescent="0.3">
      <c r="A968" s="30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spans="1:21" x14ac:dyDescent="0.3">
      <c r="A969" s="30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spans="1:21" x14ac:dyDescent="0.3">
      <c r="A970" s="30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spans="1:21" x14ac:dyDescent="0.3">
      <c r="A971" s="30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spans="1:21" x14ac:dyDescent="0.3">
      <c r="A972" s="30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spans="1:21" x14ac:dyDescent="0.3">
      <c r="A973" s="30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spans="1:21" x14ac:dyDescent="0.3">
      <c r="A974" s="30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spans="1:21" x14ac:dyDescent="0.3">
      <c r="A975" s="30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spans="1:21" x14ac:dyDescent="0.3">
      <c r="A976" s="30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spans="1:21" x14ac:dyDescent="0.3">
      <c r="A977" s="30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spans="1:21" x14ac:dyDescent="0.3">
      <c r="A978" s="30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spans="1:21" x14ac:dyDescent="0.3">
      <c r="A979" s="30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spans="1:21" x14ac:dyDescent="0.3">
      <c r="A980" s="30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spans="1:21" x14ac:dyDescent="0.3">
      <c r="A981" s="30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spans="1:21" x14ac:dyDescent="0.3">
      <c r="A982" s="30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spans="1:21" x14ac:dyDescent="0.3">
      <c r="A983" s="30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spans="1:21" x14ac:dyDescent="0.3">
      <c r="A984" s="30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</sheetData>
  <mergeCells count="1">
    <mergeCell ref="B16:D16"/>
  </mergeCells>
  <dataValidations count="1">
    <dataValidation allowBlank="1" showInputMessage="1" showErrorMessage="1" prompt="Vui lòng nhập số nguyên hoặc số thập phân. Xin cảm ơn." sqref="D1:D15 D17:D1048576"/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F13" sqref="F13"/>
    </sheetView>
  </sheetViews>
  <sheetFormatPr defaultColWidth="14.44140625" defaultRowHeight="15" customHeight="1" x14ac:dyDescent="0.3"/>
  <cols>
    <col min="1" max="1" width="6.77734375" style="21" customWidth="1"/>
    <col min="2" max="2" width="36.33203125" customWidth="1"/>
    <col min="3" max="3" width="17.6640625" customWidth="1"/>
    <col min="5" max="5" width="32.6640625" customWidth="1"/>
  </cols>
  <sheetData>
    <row r="1" spans="1:5" ht="15" customHeight="1" x14ac:dyDescent="0.3">
      <c r="A1" s="22" t="s">
        <v>9</v>
      </c>
      <c r="B1" s="13" t="s">
        <v>28</v>
      </c>
      <c r="C1" s="13" t="s">
        <v>51</v>
      </c>
      <c r="D1" s="32" t="s">
        <v>52</v>
      </c>
      <c r="E1" s="48" t="s">
        <v>2</v>
      </c>
    </row>
    <row r="2" spans="1:5" ht="15" customHeight="1" x14ac:dyDescent="0.3">
      <c r="A2" s="20">
        <v>48</v>
      </c>
      <c r="B2" s="11" t="s">
        <v>30</v>
      </c>
      <c r="C2" s="11">
        <v>0.1195</v>
      </c>
      <c r="D2" s="37"/>
      <c r="E2" s="44">
        <f>D2*C2</f>
        <v>0</v>
      </c>
    </row>
    <row r="3" spans="1:5" ht="15" customHeight="1" x14ac:dyDescent="0.3">
      <c r="A3" s="20">
        <v>49</v>
      </c>
      <c r="B3" s="11" t="s">
        <v>31</v>
      </c>
      <c r="C3" s="11">
        <v>0.10312</v>
      </c>
      <c r="D3" s="37"/>
      <c r="E3" s="44">
        <f t="shared" ref="E3:E20" si="0">D3*C3</f>
        <v>0</v>
      </c>
    </row>
    <row r="4" spans="1:5" ht="15" customHeight="1" x14ac:dyDescent="0.3">
      <c r="A4" s="20">
        <v>50</v>
      </c>
      <c r="B4" s="11" t="s">
        <v>32</v>
      </c>
      <c r="C4" s="11">
        <v>2.7320000000000001E-2</v>
      </c>
      <c r="D4" s="37"/>
      <c r="E4" s="44">
        <f t="shared" si="0"/>
        <v>0</v>
      </c>
    </row>
    <row r="5" spans="1:5" ht="15" customHeight="1" x14ac:dyDescent="0.3">
      <c r="A5" s="20">
        <v>51</v>
      </c>
      <c r="B5" s="11" t="s">
        <v>33</v>
      </c>
      <c r="C5" s="11">
        <v>0.13721</v>
      </c>
      <c r="D5" s="37"/>
      <c r="E5" s="44">
        <f t="shared" si="0"/>
        <v>0</v>
      </c>
    </row>
    <row r="6" spans="1:5" ht="15" customHeight="1" x14ac:dyDescent="0.3">
      <c r="A6" s="20">
        <v>52</v>
      </c>
      <c r="B6" s="11" t="s">
        <v>34</v>
      </c>
      <c r="C6" s="11">
        <v>0.16636999999999999</v>
      </c>
      <c r="D6" s="37"/>
      <c r="E6" s="44">
        <f t="shared" si="0"/>
        <v>0</v>
      </c>
    </row>
    <row r="7" spans="1:5" ht="15" customHeight="1" x14ac:dyDescent="0.3">
      <c r="A7" s="20">
        <v>53</v>
      </c>
      <c r="B7" s="11" t="s">
        <v>35</v>
      </c>
      <c r="C7" s="11">
        <v>0.20419000000000001</v>
      </c>
      <c r="D7" s="37"/>
      <c r="E7" s="44">
        <f t="shared" si="0"/>
        <v>0</v>
      </c>
    </row>
    <row r="8" spans="1:5" ht="15" customHeight="1" x14ac:dyDescent="0.3">
      <c r="A8" s="20">
        <v>54</v>
      </c>
      <c r="B8" s="11" t="s">
        <v>36</v>
      </c>
      <c r="C8" s="11">
        <v>0.16844000000000001</v>
      </c>
      <c r="D8" s="37"/>
      <c r="E8" s="44">
        <f t="shared" si="0"/>
        <v>0</v>
      </c>
    </row>
    <row r="9" spans="1:5" ht="15" customHeight="1" x14ac:dyDescent="0.3">
      <c r="A9" s="20">
        <v>55</v>
      </c>
      <c r="B9" s="11" t="s">
        <v>37</v>
      </c>
      <c r="C9" s="11">
        <v>0.14835999999999999</v>
      </c>
      <c r="D9" s="37"/>
      <c r="E9" s="44">
        <f t="shared" si="0"/>
        <v>0</v>
      </c>
    </row>
    <row r="10" spans="1:5" ht="15" customHeight="1" x14ac:dyDescent="0.3">
      <c r="A10" s="20">
        <v>56</v>
      </c>
      <c r="B10" s="11" t="s">
        <v>38</v>
      </c>
      <c r="C10" s="11">
        <v>0.18659000000000001</v>
      </c>
      <c r="D10" s="37"/>
      <c r="E10" s="44">
        <f t="shared" si="0"/>
        <v>0</v>
      </c>
    </row>
    <row r="11" spans="1:5" ht="15" customHeight="1" x14ac:dyDescent="0.3">
      <c r="A11" s="20">
        <v>57</v>
      </c>
      <c r="B11" s="11" t="s">
        <v>39</v>
      </c>
      <c r="C11" s="11">
        <v>0.27806999999999998</v>
      </c>
      <c r="D11" s="37"/>
      <c r="E11" s="44">
        <f t="shared" si="0"/>
        <v>0</v>
      </c>
    </row>
    <row r="12" spans="1:5" ht="15" customHeight="1" x14ac:dyDescent="0.3">
      <c r="A12" s="20">
        <v>58</v>
      </c>
      <c r="B12" s="11" t="s">
        <v>40</v>
      </c>
      <c r="C12" s="11">
        <v>0.17430000000000001</v>
      </c>
      <c r="D12" s="37"/>
      <c r="E12" s="44">
        <f t="shared" si="0"/>
        <v>0</v>
      </c>
    </row>
    <row r="13" spans="1:5" ht="15" customHeight="1" x14ac:dyDescent="0.3">
      <c r="A13" s="20">
        <v>59</v>
      </c>
      <c r="B13" s="11" t="s">
        <v>41</v>
      </c>
      <c r="C13" s="11">
        <v>0.10274999999999999</v>
      </c>
      <c r="D13" s="37"/>
      <c r="E13" s="44">
        <f t="shared" si="0"/>
        <v>0</v>
      </c>
    </row>
    <row r="14" spans="1:5" ht="15" customHeight="1" x14ac:dyDescent="0.3">
      <c r="A14" s="20">
        <v>60</v>
      </c>
      <c r="B14" s="11" t="s">
        <v>42</v>
      </c>
      <c r="C14" s="11">
        <v>0.10698000000000001</v>
      </c>
      <c r="D14" s="37"/>
      <c r="E14" s="44">
        <f t="shared" si="0"/>
        <v>0</v>
      </c>
    </row>
    <row r="15" spans="1:5" ht="15" customHeight="1" x14ac:dyDescent="0.3">
      <c r="A15" s="20">
        <v>61</v>
      </c>
      <c r="B15" s="11" t="s">
        <v>43</v>
      </c>
      <c r="C15" s="11">
        <v>0.14480000000000001</v>
      </c>
      <c r="D15" s="37"/>
      <c r="E15" s="44">
        <f t="shared" si="0"/>
        <v>0</v>
      </c>
    </row>
    <row r="16" spans="1:5" ht="15" customHeight="1" x14ac:dyDescent="0.3">
      <c r="A16" s="20">
        <v>62</v>
      </c>
      <c r="B16" s="11" t="s">
        <v>44</v>
      </c>
      <c r="C16" s="11">
        <v>0.14480000000000001</v>
      </c>
      <c r="D16" s="37"/>
      <c r="E16" s="44">
        <f t="shared" si="0"/>
        <v>0</v>
      </c>
    </row>
    <row r="17" spans="1:5" ht="15" customHeight="1" x14ac:dyDescent="0.3">
      <c r="A17" s="20">
        <v>63</v>
      </c>
      <c r="B17" s="11" t="s">
        <v>45</v>
      </c>
      <c r="C17" s="11">
        <v>0.11558</v>
      </c>
      <c r="D17" s="37"/>
      <c r="E17" s="44">
        <f t="shared" si="0"/>
        <v>0</v>
      </c>
    </row>
    <row r="18" spans="1:5" ht="15" customHeight="1" x14ac:dyDescent="0.3">
      <c r="A18" s="20">
        <v>64</v>
      </c>
      <c r="B18" s="11" t="s">
        <v>46</v>
      </c>
      <c r="C18" s="11">
        <v>0.15934999999999999</v>
      </c>
      <c r="D18" s="37"/>
      <c r="E18" s="44">
        <f t="shared" si="0"/>
        <v>0</v>
      </c>
    </row>
    <row r="19" spans="1:5" ht="15" customHeight="1" x14ac:dyDescent="0.3">
      <c r="A19" s="20">
        <v>65</v>
      </c>
      <c r="B19" s="11" t="s">
        <v>47</v>
      </c>
      <c r="C19" s="11">
        <v>0.23680000000000001</v>
      </c>
      <c r="D19" s="37"/>
      <c r="E19" s="44">
        <f t="shared" si="0"/>
        <v>0</v>
      </c>
    </row>
    <row r="20" spans="1:5" ht="15" customHeight="1" x14ac:dyDescent="0.3">
      <c r="A20" s="20">
        <v>66</v>
      </c>
      <c r="B20" s="11" t="s">
        <v>48</v>
      </c>
      <c r="C20" s="11">
        <v>0.17621000000000001</v>
      </c>
      <c r="D20" s="37"/>
      <c r="E20" s="44">
        <f t="shared" si="0"/>
        <v>0</v>
      </c>
    </row>
    <row r="21" spans="1:5" ht="15" customHeight="1" x14ac:dyDescent="0.4">
      <c r="A21" s="42"/>
      <c r="B21" s="55" t="s">
        <v>27</v>
      </c>
      <c r="C21" s="55"/>
      <c r="D21" s="55"/>
      <c r="E21" s="49">
        <f>SUM(E2:E20)</f>
        <v>0</v>
      </c>
    </row>
  </sheetData>
  <mergeCells count="1">
    <mergeCell ref="B21:D21"/>
  </mergeCells>
  <dataValidations xWindow="786" yWindow="628" count="1">
    <dataValidation allowBlank="1" showInputMessage="1" showErrorMessage="1" prompt="Vui lòng nhập số nguyên hoặc số thập phân. Xin cảm ơn." sqref="D1:D20 D22:D1048576"/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68"/>
  <sheetViews>
    <sheetView workbookViewId="0">
      <selection activeCell="G14" sqref="G14"/>
    </sheetView>
  </sheetViews>
  <sheetFormatPr defaultColWidth="14.44140625" defaultRowHeight="15" customHeight="1" x14ac:dyDescent="0.3"/>
  <cols>
    <col min="1" max="1" width="5.77734375" style="34" customWidth="1"/>
    <col min="2" max="2" width="28.5546875" style="9" customWidth="1"/>
    <col min="3" max="3" width="11.5546875" style="9" customWidth="1"/>
    <col min="4" max="4" width="14.109375" style="9" customWidth="1"/>
    <col min="5" max="5" width="32.5546875" style="9" customWidth="1"/>
    <col min="6" max="17" width="8.77734375" style="9" customWidth="1"/>
    <col min="18" max="18" width="14.44140625" style="9" customWidth="1"/>
    <col min="19" max="16384" width="14.44140625" style="9"/>
  </cols>
  <sheetData>
    <row r="1" spans="1:17" ht="14.25" customHeight="1" x14ac:dyDescent="0.3">
      <c r="A1" s="22" t="s">
        <v>9</v>
      </c>
      <c r="B1" s="13" t="s">
        <v>28</v>
      </c>
      <c r="C1" s="13" t="s">
        <v>53</v>
      </c>
      <c r="D1" s="36" t="s">
        <v>52</v>
      </c>
      <c r="E1" s="48" t="s">
        <v>2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4.25" customHeight="1" x14ac:dyDescent="0.3">
      <c r="A2" s="20">
        <v>67</v>
      </c>
      <c r="B2" s="35" t="s">
        <v>54</v>
      </c>
      <c r="C2" s="35">
        <v>0.1195</v>
      </c>
      <c r="D2" s="41"/>
      <c r="E2" s="44">
        <f>D2*C2</f>
        <v>0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ht="14.25" customHeight="1" x14ac:dyDescent="0.3">
      <c r="A3" s="20">
        <v>68</v>
      </c>
      <c r="B3" s="35" t="s">
        <v>55</v>
      </c>
      <c r="C3" s="35">
        <v>0.10312</v>
      </c>
      <c r="D3" s="41"/>
      <c r="E3" s="44">
        <f t="shared" ref="E3:E20" si="0">D3*C3</f>
        <v>0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ht="14.25" customHeight="1" x14ac:dyDescent="0.3">
      <c r="A4" s="20">
        <v>69</v>
      </c>
      <c r="B4" s="35" t="s">
        <v>56</v>
      </c>
      <c r="C4" s="35">
        <v>2.7320000000000001E-2</v>
      </c>
      <c r="D4" s="41"/>
      <c r="E4" s="44">
        <f t="shared" si="0"/>
        <v>0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 ht="14.25" customHeight="1" x14ac:dyDescent="0.3">
      <c r="A5" s="20">
        <v>70</v>
      </c>
      <c r="B5" s="35" t="s">
        <v>57</v>
      </c>
      <c r="C5" s="35">
        <v>0.13721</v>
      </c>
      <c r="D5" s="41"/>
      <c r="E5" s="44">
        <f t="shared" si="0"/>
        <v>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ht="14.25" customHeight="1" x14ac:dyDescent="0.3">
      <c r="A6" s="20">
        <v>71</v>
      </c>
      <c r="B6" s="35" t="s">
        <v>58</v>
      </c>
      <c r="C6" s="35">
        <v>0.16636999999999999</v>
      </c>
      <c r="D6" s="41"/>
      <c r="E6" s="44">
        <f t="shared" si="0"/>
        <v>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ht="14.25" customHeight="1" x14ac:dyDescent="0.3">
      <c r="A7" s="20">
        <v>72</v>
      </c>
      <c r="B7" s="35" t="s">
        <v>59</v>
      </c>
      <c r="C7" s="35">
        <v>0.20419000000000001</v>
      </c>
      <c r="D7" s="41"/>
      <c r="E7" s="44">
        <f t="shared" si="0"/>
        <v>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ht="14.25" customHeight="1" x14ac:dyDescent="0.3">
      <c r="A8" s="20">
        <v>73</v>
      </c>
      <c r="B8" s="35" t="s">
        <v>60</v>
      </c>
      <c r="C8" s="35">
        <v>0.16844000000000001</v>
      </c>
      <c r="D8" s="41"/>
      <c r="E8" s="44">
        <f t="shared" si="0"/>
        <v>0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ht="14.25" customHeight="1" x14ac:dyDescent="0.3">
      <c r="A9" s="20">
        <v>74</v>
      </c>
      <c r="B9" s="35" t="s">
        <v>61</v>
      </c>
      <c r="C9" s="35">
        <v>0.14835999999999999</v>
      </c>
      <c r="D9" s="41"/>
      <c r="E9" s="44">
        <f t="shared" si="0"/>
        <v>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ht="14.25" customHeight="1" x14ac:dyDescent="0.3">
      <c r="A10" s="20">
        <v>75</v>
      </c>
      <c r="B10" s="35" t="s">
        <v>62</v>
      </c>
      <c r="C10" s="35">
        <v>0.18659000000000001</v>
      </c>
      <c r="D10" s="41"/>
      <c r="E10" s="44">
        <f t="shared" si="0"/>
        <v>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 ht="14.25" customHeight="1" x14ac:dyDescent="0.3">
      <c r="A11" s="20">
        <v>76</v>
      </c>
      <c r="B11" s="35" t="s">
        <v>63</v>
      </c>
      <c r="C11" s="35">
        <v>0.27806999999999998</v>
      </c>
      <c r="D11" s="41"/>
      <c r="E11" s="44">
        <f t="shared" si="0"/>
        <v>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ht="14.25" customHeight="1" x14ac:dyDescent="0.3">
      <c r="A12" s="20">
        <v>77</v>
      </c>
      <c r="B12" s="35" t="s">
        <v>64</v>
      </c>
      <c r="C12" s="35">
        <v>0.17430000000000001</v>
      </c>
      <c r="D12" s="41"/>
      <c r="E12" s="44">
        <f t="shared" si="0"/>
        <v>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ht="14.25" customHeight="1" x14ac:dyDescent="0.3">
      <c r="A13" s="20">
        <v>78</v>
      </c>
      <c r="B13" s="35" t="s">
        <v>65</v>
      </c>
      <c r="C13" s="35">
        <v>0.10274999999999999</v>
      </c>
      <c r="D13" s="41"/>
      <c r="E13" s="44">
        <f t="shared" si="0"/>
        <v>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14.25" customHeight="1" x14ac:dyDescent="0.3">
      <c r="A14" s="20">
        <v>79</v>
      </c>
      <c r="B14" s="35" t="s">
        <v>66</v>
      </c>
      <c r="C14" s="35">
        <v>0.10698000000000001</v>
      </c>
      <c r="D14" s="41"/>
      <c r="E14" s="44">
        <f t="shared" si="0"/>
        <v>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14.25" customHeight="1" x14ac:dyDescent="0.3">
      <c r="A15" s="20">
        <v>80</v>
      </c>
      <c r="B15" s="35" t="s">
        <v>67</v>
      </c>
      <c r="C15" s="35">
        <v>0.14480000000000001</v>
      </c>
      <c r="D15" s="41"/>
      <c r="E15" s="44">
        <f t="shared" si="0"/>
        <v>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 ht="14.25" customHeight="1" x14ac:dyDescent="0.3">
      <c r="A16" s="20">
        <v>81</v>
      </c>
      <c r="B16" s="35" t="s">
        <v>68</v>
      </c>
      <c r="C16" s="35">
        <v>0.14480000000000001</v>
      </c>
      <c r="D16" s="41"/>
      <c r="E16" s="44">
        <f t="shared" si="0"/>
        <v>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ht="14.25" customHeight="1" x14ac:dyDescent="0.3">
      <c r="A17" s="20">
        <v>82</v>
      </c>
      <c r="B17" s="35" t="s">
        <v>69</v>
      </c>
      <c r="C17" s="35">
        <v>0.11558</v>
      </c>
      <c r="D17" s="41"/>
      <c r="E17" s="44">
        <f t="shared" si="0"/>
        <v>0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ht="14.25" customHeight="1" x14ac:dyDescent="0.3">
      <c r="A18" s="20">
        <v>83</v>
      </c>
      <c r="B18" s="35" t="s">
        <v>70</v>
      </c>
      <c r="C18" s="35">
        <v>0.15934999999999999</v>
      </c>
      <c r="D18" s="41"/>
      <c r="E18" s="44">
        <f t="shared" si="0"/>
        <v>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ht="14.25" customHeight="1" x14ac:dyDescent="0.3">
      <c r="A19" s="20">
        <v>84</v>
      </c>
      <c r="B19" s="35" t="s">
        <v>71</v>
      </c>
      <c r="C19" s="35">
        <v>0.23680000000000001</v>
      </c>
      <c r="D19" s="41"/>
      <c r="E19" s="44">
        <f t="shared" si="0"/>
        <v>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14.25" customHeight="1" x14ac:dyDescent="0.3">
      <c r="A20" s="20">
        <v>85</v>
      </c>
      <c r="B20" s="35" t="s">
        <v>72</v>
      </c>
      <c r="C20" s="35">
        <v>0.17621000000000001</v>
      </c>
      <c r="D20" s="41"/>
      <c r="E20" s="44">
        <f t="shared" si="0"/>
        <v>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 ht="14.25" customHeight="1" x14ac:dyDescent="0.4">
      <c r="A21" s="42"/>
      <c r="B21" s="55" t="s">
        <v>27</v>
      </c>
      <c r="C21" s="55"/>
      <c r="D21" s="55"/>
      <c r="E21" s="49">
        <f>SUM(E2:E20)</f>
        <v>0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ht="14.25" customHeight="1" x14ac:dyDescent="0.3">
      <c r="A22" s="33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ht="14.25" customHeight="1" x14ac:dyDescent="0.3">
      <c r="A23" s="33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ht="14.25" customHeight="1" x14ac:dyDescent="0.3">
      <c r="A24" s="33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 ht="14.25" customHeight="1" x14ac:dyDescent="0.3">
      <c r="A25" s="33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ht="14.25" customHeight="1" x14ac:dyDescent="0.3">
      <c r="A26" s="33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ht="14.25" customHeight="1" x14ac:dyDescent="0.3">
      <c r="A27" s="33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 ht="14.25" customHeight="1" x14ac:dyDescent="0.3">
      <c r="A28" s="33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 ht="14.25" customHeight="1" x14ac:dyDescent="0.3">
      <c r="A29" s="33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 ht="14.25" customHeight="1" x14ac:dyDescent="0.3">
      <c r="A30" s="33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ht="14.25" customHeight="1" x14ac:dyDescent="0.3">
      <c r="A31" s="33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 ht="14.25" customHeight="1" x14ac:dyDescent="0.3">
      <c r="A32" s="3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 ht="14.25" customHeight="1" x14ac:dyDescent="0.3">
      <c r="A33" s="33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ht="14.25" customHeight="1" x14ac:dyDescent="0.3">
      <c r="A34" s="33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ht="14.25" customHeight="1" x14ac:dyDescent="0.3">
      <c r="A35" s="33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ht="14.25" customHeight="1" x14ac:dyDescent="0.3">
      <c r="A36" s="33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ht="14.25" customHeight="1" x14ac:dyDescent="0.3">
      <c r="A37" s="3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ht="14.25" customHeight="1" x14ac:dyDescent="0.3">
      <c r="A38" s="33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ht="14.25" customHeight="1" x14ac:dyDescent="0.3">
      <c r="A39" s="33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 ht="14.25" customHeight="1" x14ac:dyDescent="0.3">
      <c r="A40" s="33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 ht="14.25" customHeight="1" x14ac:dyDescent="0.3">
      <c r="A41" s="3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 ht="14.25" customHeight="1" x14ac:dyDescent="0.3">
      <c r="A42" s="33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 ht="14.25" customHeight="1" x14ac:dyDescent="0.3">
      <c r="A43" s="33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 ht="14.25" customHeight="1" x14ac:dyDescent="0.3">
      <c r="A44" s="33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17" ht="14.25" customHeight="1" x14ac:dyDescent="0.3">
      <c r="A45" s="33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 ht="14.25" customHeight="1" x14ac:dyDescent="0.3">
      <c r="A46" s="33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17" ht="14.25" customHeight="1" x14ac:dyDescent="0.3">
      <c r="A47" s="33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 ht="14.25" customHeight="1" x14ac:dyDescent="0.3">
      <c r="A48" s="33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 ht="14.25" customHeight="1" x14ac:dyDescent="0.3">
      <c r="A49" s="33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 ht="14.25" customHeight="1" x14ac:dyDescent="0.3">
      <c r="A50" s="33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 ht="14.25" customHeight="1" x14ac:dyDescent="0.3">
      <c r="A51" s="33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17" ht="14.25" customHeight="1" x14ac:dyDescent="0.3">
      <c r="A52" s="3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1:17" ht="14.25" customHeight="1" x14ac:dyDescent="0.3">
      <c r="A53" s="33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 ht="14.25" customHeight="1" x14ac:dyDescent="0.3">
      <c r="A54" s="33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 ht="14.25" customHeight="1" x14ac:dyDescent="0.3">
      <c r="A55" s="33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 ht="14.25" customHeight="1" x14ac:dyDescent="0.3">
      <c r="A56" s="33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 ht="14.25" customHeight="1" x14ac:dyDescent="0.3">
      <c r="A57" s="33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 ht="14.25" customHeight="1" x14ac:dyDescent="0.3">
      <c r="A58" s="33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ht="14.25" customHeight="1" x14ac:dyDescent="0.3">
      <c r="A59" s="33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 ht="14.25" customHeight="1" x14ac:dyDescent="0.3">
      <c r="A60" s="33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 spans="1:17" ht="14.25" customHeight="1" x14ac:dyDescent="0.3">
      <c r="A61" s="33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1:17" ht="14.25" customHeight="1" x14ac:dyDescent="0.3">
      <c r="A62" s="33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spans="1:17" ht="14.25" customHeight="1" x14ac:dyDescent="0.3">
      <c r="A63" s="33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1:17" ht="14.25" customHeight="1" x14ac:dyDescent="0.3">
      <c r="A64" s="33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1:17" ht="14.25" customHeight="1" x14ac:dyDescent="0.3">
      <c r="A65" s="33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spans="1:17" ht="14.25" customHeight="1" x14ac:dyDescent="0.3">
      <c r="A66" s="33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 spans="1:17" ht="14.25" customHeight="1" x14ac:dyDescent="0.3">
      <c r="A67" s="33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</row>
    <row r="68" spans="1:17" ht="14.25" customHeight="1" x14ac:dyDescent="0.3">
      <c r="A68" s="33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</row>
    <row r="69" spans="1:17" ht="14.25" customHeight="1" x14ac:dyDescent="0.3">
      <c r="A69" s="33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 spans="1:17" ht="14.25" customHeight="1" x14ac:dyDescent="0.3">
      <c r="A70" s="33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spans="1:17" ht="14.25" customHeight="1" x14ac:dyDescent="0.3">
      <c r="A71" s="33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1:17" ht="14.25" customHeight="1" x14ac:dyDescent="0.3">
      <c r="A72" s="33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spans="1:17" ht="14.25" customHeight="1" x14ac:dyDescent="0.3">
      <c r="A73" s="33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</row>
    <row r="74" spans="1:17" ht="14.25" customHeight="1" x14ac:dyDescent="0.3">
      <c r="A74" s="33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</row>
    <row r="75" spans="1:17" ht="14.25" customHeight="1" x14ac:dyDescent="0.3">
      <c r="A75" s="33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</row>
    <row r="76" spans="1:17" ht="14.25" customHeight="1" x14ac:dyDescent="0.3">
      <c r="A76" s="33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</row>
    <row r="77" spans="1:17" ht="14.25" customHeight="1" x14ac:dyDescent="0.3">
      <c r="A77" s="33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</row>
    <row r="78" spans="1:17" ht="14.25" customHeight="1" x14ac:dyDescent="0.3">
      <c r="A78" s="33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</row>
    <row r="79" spans="1:17" ht="14.25" customHeight="1" x14ac:dyDescent="0.3">
      <c r="A79" s="33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</row>
    <row r="80" spans="1:17" ht="14.25" customHeight="1" x14ac:dyDescent="0.3">
      <c r="A80" s="33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</row>
    <row r="81" spans="1:17" ht="14.25" customHeight="1" x14ac:dyDescent="0.3">
      <c r="A81" s="33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</row>
    <row r="82" spans="1:17" ht="14.25" customHeight="1" x14ac:dyDescent="0.3">
      <c r="A82" s="33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</row>
    <row r="83" spans="1:17" ht="14.25" customHeight="1" x14ac:dyDescent="0.3">
      <c r="A83" s="33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</row>
    <row r="84" spans="1:17" ht="14.25" customHeight="1" x14ac:dyDescent="0.3">
      <c r="A84" s="33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</row>
    <row r="85" spans="1:17" ht="14.25" customHeight="1" x14ac:dyDescent="0.3">
      <c r="A85" s="33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</row>
    <row r="86" spans="1:17" ht="14.25" customHeight="1" x14ac:dyDescent="0.3">
      <c r="A86" s="33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 spans="1:17" ht="14.25" customHeight="1" x14ac:dyDescent="0.3">
      <c r="A87" s="33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</row>
    <row r="88" spans="1:17" ht="14.25" customHeight="1" x14ac:dyDescent="0.3">
      <c r="A88" s="33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</row>
    <row r="89" spans="1:17" ht="14.25" customHeight="1" x14ac:dyDescent="0.3">
      <c r="A89" s="33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 spans="1:17" ht="14.25" customHeight="1" x14ac:dyDescent="0.3">
      <c r="A90" s="33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</row>
    <row r="91" spans="1:17" ht="14.25" customHeight="1" x14ac:dyDescent="0.3">
      <c r="A91" s="33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</row>
    <row r="92" spans="1:17" ht="14.25" customHeight="1" x14ac:dyDescent="0.3">
      <c r="A92" s="33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</row>
    <row r="93" spans="1:17" ht="14.25" customHeight="1" x14ac:dyDescent="0.3">
      <c r="A93" s="33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</row>
    <row r="94" spans="1:17" ht="14.25" customHeight="1" x14ac:dyDescent="0.3">
      <c r="A94" s="33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 spans="1:17" ht="14.25" customHeight="1" x14ac:dyDescent="0.3">
      <c r="A95" s="33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</row>
    <row r="96" spans="1:17" ht="14.25" customHeight="1" x14ac:dyDescent="0.3">
      <c r="A96" s="33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</row>
    <row r="97" spans="1:17" ht="14.25" customHeight="1" x14ac:dyDescent="0.3">
      <c r="A97" s="33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</row>
    <row r="98" spans="1:17" ht="14.25" customHeight="1" x14ac:dyDescent="0.3">
      <c r="A98" s="33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</row>
    <row r="99" spans="1:17" ht="14.25" customHeight="1" x14ac:dyDescent="0.3">
      <c r="A99" s="33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</row>
    <row r="100" spans="1:17" ht="14.25" customHeight="1" x14ac:dyDescent="0.3">
      <c r="A100" s="33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</row>
    <row r="101" spans="1:17" ht="14.25" customHeight="1" x14ac:dyDescent="0.3">
      <c r="A101" s="33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</row>
    <row r="102" spans="1:17" ht="14.25" customHeight="1" x14ac:dyDescent="0.3">
      <c r="A102" s="33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</row>
    <row r="103" spans="1:17" ht="14.25" customHeight="1" x14ac:dyDescent="0.3">
      <c r="A103" s="33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</row>
    <row r="104" spans="1:17" ht="14.25" customHeight="1" x14ac:dyDescent="0.3">
      <c r="A104" s="33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</row>
    <row r="105" spans="1:17" ht="14.25" customHeight="1" x14ac:dyDescent="0.3">
      <c r="A105" s="33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</row>
    <row r="106" spans="1:17" ht="14.25" customHeight="1" x14ac:dyDescent="0.3">
      <c r="A106" s="33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</row>
    <row r="107" spans="1:17" ht="14.25" customHeight="1" x14ac:dyDescent="0.3">
      <c r="A107" s="33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</row>
    <row r="108" spans="1:17" ht="14.25" customHeight="1" x14ac:dyDescent="0.3">
      <c r="A108" s="33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</row>
    <row r="109" spans="1:17" ht="14.25" customHeight="1" x14ac:dyDescent="0.3">
      <c r="A109" s="33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</row>
    <row r="110" spans="1:17" ht="14.25" customHeight="1" x14ac:dyDescent="0.3">
      <c r="A110" s="33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</row>
    <row r="111" spans="1:17" ht="14.25" customHeight="1" x14ac:dyDescent="0.3">
      <c r="A111" s="33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</row>
    <row r="112" spans="1:17" ht="14.25" customHeight="1" x14ac:dyDescent="0.3">
      <c r="A112" s="33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</row>
    <row r="113" spans="1:17" ht="14.25" customHeight="1" x14ac:dyDescent="0.3">
      <c r="A113" s="33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</row>
    <row r="114" spans="1:17" ht="14.25" customHeight="1" x14ac:dyDescent="0.3">
      <c r="A114" s="33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</row>
    <row r="115" spans="1:17" ht="14.25" customHeight="1" x14ac:dyDescent="0.3">
      <c r="A115" s="33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</row>
    <row r="116" spans="1:17" ht="14.25" customHeight="1" x14ac:dyDescent="0.3">
      <c r="A116" s="33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</row>
    <row r="117" spans="1:17" ht="14.25" customHeight="1" x14ac:dyDescent="0.3">
      <c r="A117" s="33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</row>
    <row r="118" spans="1:17" ht="14.25" customHeight="1" x14ac:dyDescent="0.3">
      <c r="A118" s="33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</row>
    <row r="119" spans="1:17" ht="14.25" customHeight="1" x14ac:dyDescent="0.3">
      <c r="A119" s="33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</row>
    <row r="120" spans="1:17" ht="14.25" customHeight="1" x14ac:dyDescent="0.3">
      <c r="A120" s="33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</row>
    <row r="121" spans="1:17" ht="14.25" customHeight="1" x14ac:dyDescent="0.3">
      <c r="A121" s="33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</row>
    <row r="122" spans="1:17" ht="14.25" customHeight="1" x14ac:dyDescent="0.3">
      <c r="A122" s="33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</row>
    <row r="123" spans="1:17" ht="14.25" customHeight="1" x14ac:dyDescent="0.3">
      <c r="A123" s="33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</row>
    <row r="124" spans="1:17" ht="14.25" customHeight="1" x14ac:dyDescent="0.3">
      <c r="A124" s="33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</row>
    <row r="125" spans="1:17" ht="14.25" customHeight="1" x14ac:dyDescent="0.3">
      <c r="A125" s="33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</row>
    <row r="126" spans="1:17" ht="14.25" customHeight="1" x14ac:dyDescent="0.3">
      <c r="A126" s="33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</row>
    <row r="127" spans="1:17" ht="14.25" customHeight="1" x14ac:dyDescent="0.3">
      <c r="A127" s="33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</row>
    <row r="128" spans="1:17" ht="14.25" customHeight="1" x14ac:dyDescent="0.3">
      <c r="A128" s="33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</row>
    <row r="129" spans="1:17" ht="14.25" customHeight="1" x14ac:dyDescent="0.3">
      <c r="A129" s="33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</row>
    <row r="130" spans="1:17" ht="14.25" customHeight="1" x14ac:dyDescent="0.3">
      <c r="A130" s="33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</row>
    <row r="131" spans="1:17" ht="14.25" customHeight="1" x14ac:dyDescent="0.3">
      <c r="A131" s="33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</row>
    <row r="132" spans="1:17" ht="14.25" customHeight="1" x14ac:dyDescent="0.3">
      <c r="A132" s="33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</row>
    <row r="133" spans="1:17" ht="14.25" customHeight="1" x14ac:dyDescent="0.3">
      <c r="A133" s="33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</row>
    <row r="134" spans="1:17" ht="14.25" customHeight="1" x14ac:dyDescent="0.3">
      <c r="A134" s="33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</row>
    <row r="135" spans="1:17" ht="14.25" customHeight="1" x14ac:dyDescent="0.3">
      <c r="A135" s="33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</row>
    <row r="136" spans="1:17" ht="14.25" customHeight="1" x14ac:dyDescent="0.3">
      <c r="A136" s="33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</row>
    <row r="137" spans="1:17" ht="14.25" customHeight="1" x14ac:dyDescent="0.3">
      <c r="A137" s="33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</row>
    <row r="138" spans="1:17" ht="14.25" customHeight="1" x14ac:dyDescent="0.3">
      <c r="A138" s="33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</row>
    <row r="139" spans="1:17" ht="14.25" customHeight="1" x14ac:dyDescent="0.3">
      <c r="A139" s="33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</row>
    <row r="140" spans="1:17" ht="14.25" customHeight="1" x14ac:dyDescent="0.3">
      <c r="A140" s="33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</row>
    <row r="141" spans="1:17" ht="14.25" customHeight="1" x14ac:dyDescent="0.3">
      <c r="A141" s="33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</row>
    <row r="142" spans="1:17" ht="14.25" customHeight="1" x14ac:dyDescent="0.3">
      <c r="A142" s="33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</row>
    <row r="143" spans="1:17" ht="14.25" customHeight="1" x14ac:dyDescent="0.3">
      <c r="A143" s="33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</row>
    <row r="144" spans="1:17" ht="14.25" customHeight="1" x14ac:dyDescent="0.3">
      <c r="A144" s="33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</row>
    <row r="145" spans="1:17" ht="14.25" customHeight="1" x14ac:dyDescent="0.3">
      <c r="A145" s="33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</row>
    <row r="146" spans="1:17" ht="14.25" customHeight="1" x14ac:dyDescent="0.3">
      <c r="A146" s="33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</row>
    <row r="147" spans="1:17" ht="14.25" customHeight="1" x14ac:dyDescent="0.3">
      <c r="A147" s="33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</row>
    <row r="148" spans="1:17" ht="14.25" customHeight="1" x14ac:dyDescent="0.3">
      <c r="A148" s="33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</row>
    <row r="149" spans="1:17" ht="14.25" customHeight="1" x14ac:dyDescent="0.3">
      <c r="A149" s="33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</row>
    <row r="150" spans="1:17" ht="14.25" customHeight="1" x14ac:dyDescent="0.3">
      <c r="A150" s="33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</row>
    <row r="151" spans="1:17" ht="14.25" customHeight="1" x14ac:dyDescent="0.3">
      <c r="A151" s="33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</row>
    <row r="152" spans="1:17" ht="14.25" customHeight="1" x14ac:dyDescent="0.3">
      <c r="A152" s="33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</row>
    <row r="153" spans="1:17" ht="14.25" customHeight="1" x14ac:dyDescent="0.3">
      <c r="A153" s="33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</row>
    <row r="154" spans="1:17" ht="14.25" customHeight="1" x14ac:dyDescent="0.3">
      <c r="A154" s="33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</row>
    <row r="155" spans="1:17" ht="14.25" customHeight="1" x14ac:dyDescent="0.3">
      <c r="A155" s="33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</row>
    <row r="156" spans="1:17" ht="14.25" customHeight="1" x14ac:dyDescent="0.3">
      <c r="A156" s="33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</row>
    <row r="157" spans="1:17" ht="14.25" customHeight="1" x14ac:dyDescent="0.3">
      <c r="A157" s="33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</row>
    <row r="158" spans="1:17" ht="14.25" customHeight="1" x14ac:dyDescent="0.3">
      <c r="A158" s="33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</row>
    <row r="159" spans="1:17" ht="14.25" customHeight="1" x14ac:dyDescent="0.3">
      <c r="A159" s="33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</row>
    <row r="160" spans="1:17" ht="14.25" customHeight="1" x14ac:dyDescent="0.3">
      <c r="A160" s="33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</row>
    <row r="161" spans="1:17" ht="14.25" customHeight="1" x14ac:dyDescent="0.3">
      <c r="A161" s="33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</row>
    <row r="162" spans="1:17" ht="14.25" customHeight="1" x14ac:dyDescent="0.3">
      <c r="A162" s="33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</row>
    <row r="163" spans="1:17" ht="14.25" customHeight="1" x14ac:dyDescent="0.3">
      <c r="A163" s="33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</row>
    <row r="164" spans="1:17" ht="14.25" customHeight="1" x14ac:dyDescent="0.3">
      <c r="A164" s="33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</row>
    <row r="165" spans="1:17" ht="14.25" customHeight="1" x14ac:dyDescent="0.3">
      <c r="A165" s="33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</row>
    <row r="166" spans="1:17" ht="14.25" customHeight="1" x14ac:dyDescent="0.3">
      <c r="A166" s="33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</row>
    <row r="167" spans="1:17" ht="14.25" customHeight="1" x14ac:dyDescent="0.3">
      <c r="A167" s="33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</row>
    <row r="168" spans="1:17" ht="14.25" customHeight="1" x14ac:dyDescent="0.3">
      <c r="A168" s="33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</row>
    <row r="169" spans="1:17" ht="14.25" customHeight="1" x14ac:dyDescent="0.3">
      <c r="A169" s="33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</row>
    <row r="170" spans="1:17" ht="14.25" customHeight="1" x14ac:dyDescent="0.3">
      <c r="A170" s="33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</row>
    <row r="171" spans="1:17" ht="14.25" customHeight="1" x14ac:dyDescent="0.3">
      <c r="A171" s="33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</row>
    <row r="172" spans="1:17" ht="14.25" customHeight="1" x14ac:dyDescent="0.3">
      <c r="A172" s="33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</row>
    <row r="173" spans="1:17" ht="14.25" customHeight="1" x14ac:dyDescent="0.3">
      <c r="A173" s="33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</row>
    <row r="174" spans="1:17" ht="14.25" customHeight="1" x14ac:dyDescent="0.3">
      <c r="A174" s="33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</row>
    <row r="175" spans="1:17" ht="14.25" customHeight="1" x14ac:dyDescent="0.3">
      <c r="A175" s="33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</row>
    <row r="176" spans="1:17" ht="14.25" customHeight="1" x14ac:dyDescent="0.3">
      <c r="A176" s="33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</row>
    <row r="177" spans="1:17" ht="14.25" customHeight="1" x14ac:dyDescent="0.3">
      <c r="A177" s="33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</row>
    <row r="178" spans="1:17" ht="14.25" customHeight="1" x14ac:dyDescent="0.3">
      <c r="A178" s="33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</row>
    <row r="179" spans="1:17" ht="14.25" customHeight="1" x14ac:dyDescent="0.3">
      <c r="A179" s="33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</row>
    <row r="180" spans="1:17" ht="14.25" customHeight="1" x14ac:dyDescent="0.3">
      <c r="A180" s="33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</row>
    <row r="181" spans="1:17" ht="14.25" customHeight="1" x14ac:dyDescent="0.3">
      <c r="A181" s="33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</row>
    <row r="182" spans="1:17" ht="14.25" customHeight="1" x14ac:dyDescent="0.3">
      <c r="A182" s="33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</row>
    <row r="183" spans="1:17" ht="14.25" customHeight="1" x14ac:dyDescent="0.3">
      <c r="A183" s="33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</row>
    <row r="184" spans="1:17" ht="14.25" customHeight="1" x14ac:dyDescent="0.3">
      <c r="A184" s="33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</row>
    <row r="185" spans="1:17" ht="14.25" customHeight="1" x14ac:dyDescent="0.3">
      <c r="A185" s="33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</row>
    <row r="186" spans="1:17" ht="14.25" customHeight="1" x14ac:dyDescent="0.3">
      <c r="A186" s="33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</row>
    <row r="187" spans="1:17" ht="14.25" customHeight="1" x14ac:dyDescent="0.3">
      <c r="A187" s="33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</row>
    <row r="188" spans="1:17" ht="14.25" customHeight="1" x14ac:dyDescent="0.3">
      <c r="A188" s="33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</row>
    <row r="189" spans="1:17" ht="14.25" customHeight="1" x14ac:dyDescent="0.3">
      <c r="A189" s="33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</row>
    <row r="190" spans="1:17" ht="14.25" customHeight="1" x14ac:dyDescent="0.3">
      <c r="A190" s="33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</row>
    <row r="191" spans="1:17" ht="14.25" customHeight="1" x14ac:dyDescent="0.3">
      <c r="A191" s="33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</row>
    <row r="192" spans="1:17" ht="14.25" customHeight="1" x14ac:dyDescent="0.3">
      <c r="A192" s="33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</row>
    <row r="193" spans="1:17" ht="14.25" customHeight="1" x14ac:dyDescent="0.3">
      <c r="A193" s="33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</row>
    <row r="194" spans="1:17" ht="14.25" customHeight="1" x14ac:dyDescent="0.3">
      <c r="A194" s="33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</row>
    <row r="195" spans="1:17" ht="14.25" customHeight="1" x14ac:dyDescent="0.3">
      <c r="A195" s="33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</row>
    <row r="196" spans="1:17" ht="14.25" customHeight="1" x14ac:dyDescent="0.3">
      <c r="A196" s="33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</row>
    <row r="197" spans="1:17" ht="14.25" customHeight="1" x14ac:dyDescent="0.3">
      <c r="A197" s="33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</row>
    <row r="198" spans="1:17" ht="14.25" customHeight="1" x14ac:dyDescent="0.3">
      <c r="A198" s="33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</row>
    <row r="199" spans="1:17" ht="14.25" customHeight="1" x14ac:dyDescent="0.3">
      <c r="A199" s="33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</row>
    <row r="200" spans="1:17" ht="14.25" customHeight="1" x14ac:dyDescent="0.3">
      <c r="A200" s="33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</row>
    <row r="201" spans="1:17" ht="14.25" customHeight="1" x14ac:dyDescent="0.3">
      <c r="A201" s="33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</row>
    <row r="202" spans="1:17" ht="14.25" customHeight="1" x14ac:dyDescent="0.3">
      <c r="A202" s="33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</row>
    <row r="203" spans="1:17" ht="14.25" customHeight="1" x14ac:dyDescent="0.3">
      <c r="A203" s="33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</row>
    <row r="204" spans="1:17" ht="14.25" customHeight="1" x14ac:dyDescent="0.3">
      <c r="A204" s="33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</row>
    <row r="205" spans="1:17" ht="14.25" customHeight="1" x14ac:dyDescent="0.3">
      <c r="A205" s="33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</row>
    <row r="206" spans="1:17" ht="14.25" customHeight="1" x14ac:dyDescent="0.3">
      <c r="A206" s="33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</row>
    <row r="207" spans="1:17" ht="14.25" customHeight="1" x14ac:dyDescent="0.3">
      <c r="A207" s="33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</row>
    <row r="208" spans="1:17" ht="14.25" customHeight="1" x14ac:dyDescent="0.3">
      <c r="A208" s="33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</row>
    <row r="209" spans="1:17" ht="14.25" customHeight="1" x14ac:dyDescent="0.3">
      <c r="A209" s="33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</row>
    <row r="210" spans="1:17" ht="14.25" customHeight="1" x14ac:dyDescent="0.3">
      <c r="A210" s="33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</row>
    <row r="211" spans="1:17" ht="14.25" customHeight="1" x14ac:dyDescent="0.3">
      <c r="A211" s="33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</row>
    <row r="212" spans="1:17" ht="14.25" customHeight="1" x14ac:dyDescent="0.3">
      <c r="A212" s="33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</row>
    <row r="213" spans="1:17" ht="14.25" customHeight="1" x14ac:dyDescent="0.3">
      <c r="A213" s="33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</row>
    <row r="214" spans="1:17" ht="14.25" customHeight="1" x14ac:dyDescent="0.3">
      <c r="A214" s="33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</row>
    <row r="215" spans="1:17" ht="14.25" customHeight="1" x14ac:dyDescent="0.3">
      <c r="A215" s="33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</row>
    <row r="216" spans="1:17" ht="14.25" customHeight="1" x14ac:dyDescent="0.3">
      <c r="A216" s="33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</row>
    <row r="217" spans="1:17" ht="14.25" customHeight="1" x14ac:dyDescent="0.3">
      <c r="A217" s="33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</row>
    <row r="218" spans="1:17" ht="14.25" customHeight="1" x14ac:dyDescent="0.3">
      <c r="A218" s="33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</row>
    <row r="219" spans="1:17" ht="14.25" customHeight="1" x14ac:dyDescent="0.3">
      <c r="A219" s="33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</row>
    <row r="220" spans="1:17" ht="14.25" customHeight="1" x14ac:dyDescent="0.3">
      <c r="A220" s="33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</row>
    <row r="221" spans="1:17" ht="14.25" customHeight="1" x14ac:dyDescent="0.3">
      <c r="A221" s="33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</row>
    <row r="222" spans="1:17" ht="14.25" customHeight="1" x14ac:dyDescent="0.3">
      <c r="A222" s="33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</row>
    <row r="223" spans="1:17" ht="14.25" customHeight="1" x14ac:dyDescent="0.3"/>
    <row r="224" spans="1:17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</sheetData>
  <mergeCells count="1">
    <mergeCell ref="B21:D21"/>
  </mergeCells>
  <dataValidations count="1">
    <dataValidation allowBlank="1" showInputMessage="1" showErrorMessage="1" prompt="Vui lòng nhập số nguyên hoặc số thập phân. Xin cảm ơn." sqref="D1:D20 D22:D1048576"/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H11" sqref="H11"/>
    </sheetView>
  </sheetViews>
  <sheetFormatPr defaultColWidth="14.44140625" defaultRowHeight="15" customHeight="1" x14ac:dyDescent="0.3"/>
  <cols>
    <col min="1" max="1" width="14.44140625" style="21" customWidth="1"/>
    <col min="2" max="2" width="29" bestFit="1" customWidth="1"/>
    <col min="3" max="3" width="14.44140625" style="21" customWidth="1"/>
    <col min="4" max="4" width="19" bestFit="1" customWidth="1"/>
  </cols>
  <sheetData>
    <row r="1" spans="1:5" ht="15" customHeight="1" x14ac:dyDescent="0.3">
      <c r="A1" s="22" t="s">
        <v>9</v>
      </c>
      <c r="B1" s="13" t="s">
        <v>73</v>
      </c>
      <c r="C1" s="13" t="s">
        <v>53</v>
      </c>
      <c r="D1" s="32" t="s">
        <v>74</v>
      </c>
      <c r="E1" s="48" t="s">
        <v>2</v>
      </c>
    </row>
    <row r="2" spans="1:5" ht="15" customHeight="1" x14ac:dyDescent="0.3">
      <c r="A2" s="20">
        <v>86</v>
      </c>
      <c r="B2" s="11" t="s">
        <v>75</v>
      </c>
      <c r="C2" s="20">
        <v>0.34399999999999997</v>
      </c>
      <c r="D2" s="37"/>
      <c r="E2" s="44">
        <f>D2*C2</f>
        <v>0</v>
      </c>
    </row>
    <row r="3" spans="1:5" ht="15" customHeight="1" x14ac:dyDescent="0.3">
      <c r="A3" s="20">
        <v>87</v>
      </c>
      <c r="B3" s="11" t="s">
        <v>76</v>
      </c>
      <c r="C3" s="20">
        <v>0.70799999999999996</v>
      </c>
      <c r="D3" s="37"/>
      <c r="E3" s="44">
        <f>D3*C3</f>
        <v>0</v>
      </c>
    </row>
    <row r="4" spans="1:5" ht="15" customHeight="1" x14ac:dyDescent="0.4">
      <c r="A4" s="42"/>
      <c r="B4" s="55" t="s">
        <v>27</v>
      </c>
      <c r="C4" s="55"/>
      <c r="D4" s="55"/>
      <c r="E4" s="49">
        <f>SUM(E2:E3)</f>
        <v>0</v>
      </c>
    </row>
  </sheetData>
  <mergeCells count="1">
    <mergeCell ref="B4:D4"/>
  </mergeCells>
  <dataValidations xWindow="653" yWindow="385" count="1">
    <dataValidation allowBlank="1" showInputMessage="1" showErrorMessage="1" prompt="Vui lòng nhập số nguyên hoặc số thập phân. Xin cảm ơn." sqref="D1:D3 D5:D1048576"/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Material use</vt:lpstr>
      <vt:lpstr>Upstream TD</vt:lpstr>
      <vt:lpstr>Waste disposal</vt:lpstr>
      <vt:lpstr>Business travel</vt:lpstr>
      <vt:lpstr>Employees commuting</vt:lpstr>
      <vt:lpstr>Wast Water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ThinkPad</cp:lastModifiedBy>
  <dcterms:created xsi:type="dcterms:W3CDTF">2023-03-06T13:19:47Z</dcterms:created>
  <dcterms:modified xsi:type="dcterms:W3CDTF">2023-05-20T09:36:14Z</dcterms:modified>
</cp:coreProperties>
</file>